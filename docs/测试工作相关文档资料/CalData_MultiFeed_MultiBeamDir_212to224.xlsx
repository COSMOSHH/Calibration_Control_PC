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work\电子科大湖州研究院\科研项目开展\可重构智能表面项目\504有源驱动阵列馈电的太赫兹透射式RIS项目\替补方案\馈源间相位校准数据保存格式\"/>
    </mc:Choice>
  </mc:AlternateContent>
  <xr:revisionPtr revIDLastSave="0" documentId="13_ncr:1_{0C1E81F6-4C14-423C-9CDF-5B423136105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212" sheetId="1" r:id="rId1"/>
    <sheet name="215" sheetId="2" r:id="rId2"/>
    <sheet name="218" sheetId="3" r:id="rId3"/>
    <sheet name="221" sheetId="4" r:id="rId4"/>
    <sheet name="224" sheetId="5" r:id="rId5"/>
  </sheets>
  <definedNames>
    <definedName name="Freq" localSheetId="0">'212'!$B$1</definedName>
    <definedName name="Freq" localSheetId="1">'215'!$B$1</definedName>
    <definedName name="Freq" localSheetId="2">'218'!$B$1</definedName>
    <definedName name="Freq" localSheetId="3">'221'!$B$1</definedName>
    <definedName name="Freq" localSheetId="4">'224'!$B$1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3" i="5" l="1"/>
  <c r="D63" i="5"/>
  <c r="C63" i="5"/>
  <c r="E62" i="5"/>
  <c r="D62" i="5"/>
  <c r="C62" i="5"/>
  <c r="E61" i="5"/>
  <c r="D61" i="5"/>
  <c r="C61" i="5"/>
  <c r="E60" i="5"/>
  <c r="D60" i="5"/>
  <c r="C60" i="5"/>
  <c r="E59" i="5"/>
  <c r="D59" i="5"/>
  <c r="C59" i="5"/>
  <c r="E58" i="5"/>
  <c r="D58" i="5"/>
  <c r="C58" i="5"/>
  <c r="E57" i="5"/>
  <c r="D57" i="5"/>
  <c r="C57" i="5"/>
  <c r="E56" i="5"/>
  <c r="D56" i="5"/>
  <c r="C56" i="5"/>
  <c r="E55" i="5"/>
  <c r="D55" i="5"/>
  <c r="C55" i="5"/>
  <c r="E54" i="5"/>
  <c r="D54" i="5"/>
  <c r="C54" i="5"/>
  <c r="E53" i="5"/>
  <c r="D53" i="5"/>
  <c r="C53" i="5"/>
  <c r="E52" i="5"/>
  <c r="D52" i="5"/>
  <c r="C52" i="5"/>
  <c r="E51" i="5"/>
  <c r="D51" i="5"/>
  <c r="C51" i="5"/>
  <c r="E50" i="5"/>
  <c r="D50" i="5"/>
  <c r="C50" i="5"/>
  <c r="E49" i="5"/>
  <c r="D49" i="5"/>
  <c r="C49" i="5"/>
  <c r="E48" i="5"/>
  <c r="D48" i="5"/>
  <c r="C48" i="5"/>
  <c r="E47" i="5"/>
  <c r="D47" i="5"/>
  <c r="C47" i="5"/>
  <c r="E46" i="5"/>
  <c r="D46" i="5"/>
  <c r="C46" i="5"/>
  <c r="E45" i="5"/>
  <c r="D45" i="5"/>
  <c r="C45" i="5"/>
  <c r="E44" i="5"/>
  <c r="D44" i="5"/>
  <c r="C44" i="5"/>
  <c r="E43" i="5"/>
  <c r="D43" i="5"/>
  <c r="C43" i="5"/>
  <c r="E42" i="5"/>
  <c r="D42" i="5"/>
  <c r="C42" i="5"/>
  <c r="E41" i="5"/>
  <c r="D41" i="5"/>
  <c r="C41" i="5"/>
  <c r="E40" i="5"/>
  <c r="D40" i="5"/>
  <c r="C40" i="5"/>
  <c r="E39" i="5"/>
  <c r="D39" i="5"/>
  <c r="C39" i="5"/>
  <c r="E38" i="5"/>
  <c r="D38" i="5"/>
  <c r="C38" i="5"/>
  <c r="E37" i="5"/>
  <c r="D37" i="5"/>
  <c r="C37" i="5"/>
  <c r="E36" i="5"/>
  <c r="D36" i="5"/>
  <c r="C36" i="5"/>
  <c r="E35" i="5"/>
  <c r="D35" i="5"/>
  <c r="C35" i="5"/>
  <c r="E34" i="5"/>
  <c r="D34" i="5"/>
  <c r="C34" i="5"/>
  <c r="E33" i="5"/>
  <c r="D33" i="5"/>
  <c r="C33" i="5"/>
  <c r="E32" i="5"/>
  <c r="D32" i="5"/>
  <c r="C32" i="5"/>
  <c r="E31" i="5"/>
  <c r="D31" i="5"/>
  <c r="C31" i="5"/>
  <c r="E30" i="5"/>
  <c r="D30" i="5"/>
  <c r="C30" i="5"/>
  <c r="E29" i="5"/>
  <c r="D29" i="5"/>
  <c r="C29" i="5"/>
  <c r="E28" i="5"/>
  <c r="D28" i="5"/>
  <c r="C28" i="5"/>
  <c r="E27" i="5"/>
  <c r="D27" i="5"/>
  <c r="C27" i="5"/>
  <c r="E26" i="5"/>
  <c r="D26" i="5"/>
  <c r="C26" i="5"/>
  <c r="E25" i="5"/>
  <c r="D25" i="5"/>
  <c r="C25" i="5"/>
  <c r="E24" i="5"/>
  <c r="D24" i="5"/>
  <c r="C24" i="5"/>
  <c r="E23" i="5"/>
  <c r="D23" i="5"/>
  <c r="C23" i="5"/>
  <c r="E22" i="5"/>
  <c r="D22" i="5"/>
  <c r="C22" i="5"/>
  <c r="E21" i="5"/>
  <c r="D21" i="5"/>
  <c r="C21" i="5"/>
  <c r="E20" i="5"/>
  <c r="D20" i="5"/>
  <c r="C20" i="5"/>
  <c r="E19" i="5"/>
  <c r="D19" i="5"/>
  <c r="C19" i="5"/>
  <c r="E18" i="5"/>
  <c r="D18" i="5"/>
  <c r="C18" i="5"/>
  <c r="E17" i="5"/>
  <c r="D17" i="5"/>
  <c r="C17" i="5"/>
  <c r="E16" i="5"/>
  <c r="D16" i="5"/>
  <c r="C16" i="5"/>
  <c r="E15" i="5"/>
  <c r="D15" i="5"/>
  <c r="C15" i="5"/>
  <c r="E14" i="5"/>
  <c r="D14" i="5"/>
  <c r="C14" i="5"/>
  <c r="E13" i="5"/>
  <c r="D13" i="5"/>
  <c r="C13" i="5"/>
  <c r="E12" i="5"/>
  <c r="D12" i="5"/>
  <c r="C12" i="5"/>
  <c r="E11" i="5"/>
  <c r="D11" i="5"/>
  <c r="C11" i="5"/>
  <c r="E10" i="5"/>
  <c r="D10" i="5"/>
  <c r="C10" i="5"/>
  <c r="E9" i="5"/>
  <c r="D9" i="5"/>
  <c r="C9" i="5"/>
  <c r="E8" i="5"/>
  <c r="D8" i="5"/>
  <c r="C8" i="5"/>
  <c r="E7" i="5"/>
  <c r="D7" i="5"/>
  <c r="C7" i="5"/>
  <c r="E6" i="5"/>
  <c r="D6" i="5"/>
  <c r="C6" i="5"/>
  <c r="E5" i="5"/>
  <c r="D5" i="5"/>
  <c r="C5" i="5"/>
  <c r="E4" i="5"/>
  <c r="D4" i="5"/>
  <c r="C4" i="5"/>
  <c r="E3" i="5"/>
  <c r="D3" i="5"/>
  <c r="C3" i="5"/>
  <c r="E63" i="4"/>
  <c r="D63" i="4"/>
  <c r="C63" i="4"/>
  <c r="E62" i="4"/>
  <c r="D62" i="4"/>
  <c r="C62" i="4"/>
  <c r="E61" i="4"/>
  <c r="D61" i="4"/>
  <c r="C61" i="4"/>
  <c r="E60" i="4"/>
  <c r="D60" i="4"/>
  <c r="C60" i="4"/>
  <c r="E59" i="4"/>
  <c r="D59" i="4"/>
  <c r="C59" i="4"/>
  <c r="E58" i="4"/>
  <c r="D58" i="4"/>
  <c r="C58" i="4"/>
  <c r="E57" i="4"/>
  <c r="D57" i="4"/>
  <c r="C57" i="4"/>
  <c r="E56" i="4"/>
  <c r="D56" i="4"/>
  <c r="C56" i="4"/>
  <c r="E55" i="4"/>
  <c r="D55" i="4"/>
  <c r="C55" i="4"/>
  <c r="E54" i="4"/>
  <c r="D54" i="4"/>
  <c r="C54" i="4"/>
  <c r="E53" i="4"/>
  <c r="D53" i="4"/>
  <c r="C53" i="4"/>
  <c r="E52" i="4"/>
  <c r="D52" i="4"/>
  <c r="C52" i="4"/>
  <c r="E51" i="4"/>
  <c r="D51" i="4"/>
  <c r="C51" i="4"/>
  <c r="E50" i="4"/>
  <c r="D50" i="4"/>
  <c r="C50" i="4"/>
  <c r="E49" i="4"/>
  <c r="D49" i="4"/>
  <c r="C49" i="4"/>
  <c r="E48" i="4"/>
  <c r="D48" i="4"/>
  <c r="C48" i="4"/>
  <c r="E47" i="4"/>
  <c r="D47" i="4"/>
  <c r="C47" i="4"/>
  <c r="E46" i="4"/>
  <c r="D46" i="4"/>
  <c r="C46" i="4"/>
  <c r="E45" i="4"/>
  <c r="D45" i="4"/>
  <c r="C45" i="4"/>
  <c r="E44" i="4"/>
  <c r="D44" i="4"/>
  <c r="C44" i="4"/>
  <c r="E43" i="4"/>
  <c r="D43" i="4"/>
  <c r="C43" i="4"/>
  <c r="E42" i="4"/>
  <c r="D42" i="4"/>
  <c r="C42" i="4"/>
  <c r="E41" i="4"/>
  <c r="D41" i="4"/>
  <c r="C41" i="4"/>
  <c r="E40" i="4"/>
  <c r="D40" i="4"/>
  <c r="C40" i="4"/>
  <c r="E39" i="4"/>
  <c r="D39" i="4"/>
  <c r="C39" i="4"/>
  <c r="E38" i="4"/>
  <c r="D38" i="4"/>
  <c r="C38" i="4"/>
  <c r="E37" i="4"/>
  <c r="D37" i="4"/>
  <c r="C37" i="4"/>
  <c r="E36" i="4"/>
  <c r="D36" i="4"/>
  <c r="C36" i="4"/>
  <c r="E35" i="4"/>
  <c r="D35" i="4"/>
  <c r="C35" i="4"/>
  <c r="E34" i="4"/>
  <c r="D34" i="4"/>
  <c r="C34" i="4"/>
  <c r="E33" i="4"/>
  <c r="D33" i="4"/>
  <c r="C33" i="4"/>
  <c r="E32" i="4"/>
  <c r="D32" i="4"/>
  <c r="C32" i="4"/>
  <c r="E31" i="4"/>
  <c r="D31" i="4"/>
  <c r="C31" i="4"/>
  <c r="E30" i="4"/>
  <c r="D30" i="4"/>
  <c r="C30" i="4"/>
  <c r="E29" i="4"/>
  <c r="D29" i="4"/>
  <c r="C29" i="4"/>
  <c r="E28" i="4"/>
  <c r="D28" i="4"/>
  <c r="C28" i="4"/>
  <c r="E27" i="4"/>
  <c r="D27" i="4"/>
  <c r="C27" i="4"/>
  <c r="E26" i="4"/>
  <c r="D26" i="4"/>
  <c r="C26" i="4"/>
  <c r="E25" i="4"/>
  <c r="D25" i="4"/>
  <c r="C25" i="4"/>
  <c r="E24" i="4"/>
  <c r="D24" i="4"/>
  <c r="C24" i="4"/>
  <c r="E23" i="4"/>
  <c r="D23" i="4"/>
  <c r="C23" i="4"/>
  <c r="E22" i="4"/>
  <c r="D22" i="4"/>
  <c r="C22" i="4"/>
  <c r="E21" i="4"/>
  <c r="D21" i="4"/>
  <c r="C21" i="4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D14" i="4"/>
  <c r="C14" i="4"/>
  <c r="E13" i="4"/>
  <c r="D13" i="4"/>
  <c r="C13" i="4"/>
  <c r="E12" i="4"/>
  <c r="D12" i="4"/>
  <c r="C12" i="4"/>
  <c r="E11" i="4"/>
  <c r="D11" i="4"/>
  <c r="C11" i="4"/>
  <c r="E10" i="4"/>
  <c r="D10" i="4"/>
  <c r="C10" i="4"/>
  <c r="E9" i="4"/>
  <c r="D9" i="4"/>
  <c r="C9" i="4"/>
  <c r="E8" i="4"/>
  <c r="D8" i="4"/>
  <c r="C8" i="4"/>
  <c r="E7" i="4"/>
  <c r="D7" i="4"/>
  <c r="C7" i="4"/>
  <c r="E6" i="4"/>
  <c r="D6" i="4"/>
  <c r="C6" i="4"/>
  <c r="E5" i="4"/>
  <c r="D5" i="4"/>
  <c r="C5" i="4"/>
  <c r="E4" i="4"/>
  <c r="D4" i="4"/>
  <c r="C4" i="4"/>
  <c r="E3" i="4"/>
  <c r="D3" i="4"/>
  <c r="C3" i="4"/>
  <c r="E63" i="3"/>
  <c r="D63" i="3"/>
  <c r="C63" i="3"/>
  <c r="E62" i="3"/>
  <c r="D62" i="3"/>
  <c r="C62" i="3"/>
  <c r="E61" i="3"/>
  <c r="D61" i="3"/>
  <c r="C61" i="3"/>
  <c r="E60" i="3"/>
  <c r="D60" i="3"/>
  <c r="C60" i="3"/>
  <c r="E59" i="3"/>
  <c r="D59" i="3"/>
  <c r="C59" i="3"/>
  <c r="E58" i="3"/>
  <c r="D58" i="3"/>
  <c r="C58" i="3"/>
  <c r="E57" i="3"/>
  <c r="D57" i="3"/>
  <c r="C57" i="3"/>
  <c r="E56" i="3"/>
  <c r="D56" i="3"/>
  <c r="C56" i="3"/>
  <c r="E55" i="3"/>
  <c r="D55" i="3"/>
  <c r="C55" i="3"/>
  <c r="E54" i="3"/>
  <c r="D54" i="3"/>
  <c r="C54" i="3"/>
  <c r="E53" i="3"/>
  <c r="D53" i="3"/>
  <c r="C53" i="3"/>
  <c r="E52" i="3"/>
  <c r="D52" i="3"/>
  <c r="C52" i="3"/>
  <c r="E51" i="3"/>
  <c r="D51" i="3"/>
  <c r="C51" i="3"/>
  <c r="E50" i="3"/>
  <c r="D50" i="3"/>
  <c r="C50" i="3"/>
  <c r="E49" i="3"/>
  <c r="D49" i="3"/>
  <c r="C49" i="3"/>
  <c r="E48" i="3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31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63" i="2"/>
  <c r="D63" i="2"/>
  <c r="C63" i="2"/>
  <c r="E62" i="2"/>
  <c r="D62" i="2"/>
  <c r="C62" i="2"/>
  <c r="E61" i="2"/>
  <c r="D61" i="2"/>
  <c r="C61" i="2"/>
  <c r="E60" i="2"/>
  <c r="D60" i="2"/>
  <c r="C60" i="2"/>
  <c r="E59" i="2"/>
  <c r="D59" i="2"/>
  <c r="C59" i="2"/>
  <c r="E58" i="2"/>
  <c r="D58" i="2"/>
  <c r="C58" i="2"/>
  <c r="E57" i="2"/>
  <c r="D57" i="2"/>
  <c r="C57" i="2"/>
  <c r="E56" i="2"/>
  <c r="D56" i="2"/>
  <c r="C56" i="2"/>
  <c r="E55" i="2"/>
  <c r="D55" i="2"/>
  <c r="C55" i="2"/>
  <c r="E54" i="2"/>
  <c r="D54" i="2"/>
  <c r="C54" i="2"/>
  <c r="E53" i="2"/>
  <c r="D53" i="2"/>
  <c r="C53" i="2"/>
  <c r="E52" i="2"/>
  <c r="D52" i="2"/>
  <c r="C52" i="2"/>
  <c r="E51" i="2"/>
  <c r="D51" i="2"/>
  <c r="C51" i="2"/>
  <c r="E50" i="2"/>
  <c r="D50" i="2"/>
  <c r="C50" i="2"/>
  <c r="E49" i="2"/>
  <c r="D49" i="2"/>
  <c r="C49" i="2"/>
  <c r="E48" i="2"/>
  <c r="D48" i="2"/>
  <c r="C48" i="2"/>
  <c r="E47" i="2"/>
  <c r="D47" i="2"/>
  <c r="C47" i="2"/>
  <c r="E46" i="2"/>
  <c r="D46" i="2"/>
  <c r="C46" i="2"/>
  <c r="E45" i="2"/>
  <c r="D45" i="2"/>
  <c r="C45" i="2"/>
  <c r="E44" i="2"/>
  <c r="D44" i="2"/>
  <c r="C44" i="2"/>
  <c r="E43" i="2"/>
  <c r="D43" i="2"/>
  <c r="C43" i="2"/>
  <c r="E42" i="2"/>
  <c r="D42" i="2"/>
  <c r="C42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E36" i="2"/>
  <c r="D36" i="2"/>
  <c r="C36" i="2"/>
  <c r="E35" i="2"/>
  <c r="D35" i="2"/>
  <c r="C35" i="2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E3" i="2"/>
  <c r="D3" i="2"/>
  <c r="C3" i="2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33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34" i="1"/>
  <c r="C35" i="1"/>
  <c r="C33" i="1"/>
  <c r="G56" i="5" l="1"/>
  <c r="I56" i="5"/>
  <c r="G41" i="5"/>
  <c r="I48" i="5"/>
  <c r="H56" i="5"/>
  <c r="I63" i="5"/>
  <c r="H63" i="5"/>
  <c r="G63" i="5"/>
  <c r="I62" i="5"/>
  <c r="H62" i="5"/>
  <c r="G62" i="5"/>
  <c r="I61" i="5"/>
  <c r="H61" i="5"/>
  <c r="G61" i="5"/>
  <c r="I60" i="5"/>
  <c r="H60" i="5"/>
  <c r="G60" i="5"/>
  <c r="I59" i="5"/>
  <c r="H59" i="5"/>
  <c r="G59" i="5"/>
  <c r="I58" i="5"/>
  <c r="H58" i="5"/>
  <c r="G58" i="5"/>
  <c r="I57" i="5"/>
  <c r="H57" i="5"/>
  <c r="G57" i="5"/>
  <c r="H41" i="5"/>
  <c r="I30" i="5"/>
  <c r="G18" i="5"/>
  <c r="H17" i="5"/>
  <c r="G15" i="5"/>
  <c r="I10" i="5"/>
  <c r="I7" i="5"/>
  <c r="G7" i="5"/>
  <c r="I6" i="5"/>
  <c r="G6" i="5"/>
  <c r="I4" i="5"/>
  <c r="G4" i="5"/>
  <c r="H3" i="5"/>
  <c r="I55" i="5"/>
  <c r="H55" i="5"/>
  <c r="G55" i="5"/>
  <c r="I54" i="5"/>
  <c r="H54" i="5"/>
  <c r="G54" i="5"/>
  <c r="I53" i="5"/>
  <c r="H53" i="5"/>
  <c r="G53" i="5"/>
  <c r="I52" i="5"/>
  <c r="H52" i="5"/>
  <c r="G52" i="5"/>
  <c r="I51" i="5"/>
  <c r="H51" i="5"/>
  <c r="G51" i="5"/>
  <c r="I50" i="5"/>
  <c r="H50" i="5"/>
  <c r="G50" i="5"/>
  <c r="I49" i="5"/>
  <c r="H49" i="5"/>
  <c r="G49" i="5"/>
  <c r="I41" i="5"/>
  <c r="I28" i="5"/>
  <c r="G28" i="5"/>
  <c r="I18" i="5"/>
  <c r="I16" i="5"/>
  <c r="I14" i="5"/>
  <c r="G14" i="5"/>
  <c r="I13" i="5"/>
  <c r="G13" i="5"/>
  <c r="G5" i="5"/>
  <c r="I3" i="5"/>
  <c r="H48" i="5"/>
  <c r="G48" i="5"/>
  <c r="I47" i="5"/>
  <c r="H47" i="5"/>
  <c r="G47" i="5"/>
  <c r="I46" i="5"/>
  <c r="H46" i="5"/>
  <c r="G46" i="5"/>
  <c r="I45" i="5"/>
  <c r="H45" i="5"/>
  <c r="G45" i="5"/>
  <c r="I44" i="5"/>
  <c r="H44" i="5"/>
  <c r="G44" i="5"/>
  <c r="I43" i="5"/>
  <c r="H43" i="5"/>
  <c r="G43" i="5"/>
  <c r="I42" i="5"/>
  <c r="H42" i="5"/>
  <c r="G42" i="5"/>
  <c r="H28" i="5"/>
  <c r="I27" i="5"/>
  <c r="H27" i="5"/>
  <c r="G27" i="5"/>
  <c r="H26" i="5"/>
  <c r="G11" i="5"/>
  <c r="H10" i="5"/>
  <c r="I9" i="5"/>
  <c r="H9" i="5"/>
  <c r="G8" i="5"/>
  <c r="H7" i="5"/>
  <c r="H5" i="5"/>
  <c r="H4" i="5"/>
  <c r="I40" i="5"/>
  <c r="H40" i="5"/>
  <c r="G40" i="5"/>
  <c r="I39" i="5"/>
  <c r="H39" i="5"/>
  <c r="G39" i="5"/>
  <c r="I38" i="5"/>
  <c r="H38" i="5"/>
  <c r="G38" i="5"/>
  <c r="I37" i="5"/>
  <c r="H37" i="5"/>
  <c r="G37" i="5"/>
  <c r="I36" i="5"/>
  <c r="H36" i="5"/>
  <c r="G36" i="5"/>
  <c r="I35" i="5"/>
  <c r="H35" i="5"/>
  <c r="G35" i="5"/>
  <c r="I34" i="5"/>
  <c r="H34" i="5"/>
  <c r="G34" i="5"/>
  <c r="I33" i="5"/>
  <c r="H33" i="5"/>
  <c r="G33" i="5"/>
  <c r="I32" i="5"/>
  <c r="H32" i="5"/>
  <c r="I31" i="5"/>
  <c r="H31" i="5"/>
  <c r="G31" i="5"/>
  <c r="G30" i="5"/>
  <c r="G29" i="5"/>
  <c r="G19" i="5"/>
  <c r="H12" i="5"/>
  <c r="H11" i="5"/>
  <c r="G10" i="5"/>
  <c r="G9" i="5"/>
  <c r="H8" i="5"/>
  <c r="G32" i="5"/>
  <c r="H30" i="5"/>
  <c r="I29" i="5"/>
  <c r="H29" i="5"/>
  <c r="I26" i="5"/>
  <c r="G26" i="5"/>
  <c r="G16" i="5"/>
  <c r="H15" i="5"/>
  <c r="H14" i="5"/>
  <c r="I8" i="5"/>
  <c r="I25" i="5"/>
  <c r="H25" i="5"/>
  <c r="G25" i="5"/>
  <c r="I24" i="5"/>
  <c r="H24" i="5"/>
  <c r="G24" i="5"/>
  <c r="I23" i="5"/>
  <c r="H23" i="5"/>
  <c r="G23" i="5"/>
  <c r="I22" i="5"/>
  <c r="H22" i="5"/>
  <c r="G22" i="5"/>
  <c r="I21" i="5"/>
  <c r="H21" i="5"/>
  <c r="G21" i="5"/>
  <c r="I20" i="5"/>
  <c r="H20" i="5"/>
  <c r="G20" i="5"/>
  <c r="I19" i="5"/>
  <c r="H19" i="5"/>
  <c r="H18" i="5"/>
  <c r="I17" i="5"/>
  <c r="G17" i="5"/>
  <c r="H16" i="5"/>
  <c r="I15" i="5"/>
  <c r="H13" i="5"/>
  <c r="I12" i="5"/>
  <c r="G12" i="5"/>
  <c r="I11" i="5"/>
  <c r="H6" i="5"/>
  <c r="I5" i="5"/>
  <c r="G3" i="5"/>
  <c r="I57" i="4"/>
  <c r="H57" i="4"/>
  <c r="H51" i="4"/>
  <c r="G51" i="4"/>
  <c r="I38" i="4"/>
  <c r="H38" i="4"/>
  <c r="I19" i="4"/>
  <c r="H19" i="4"/>
  <c r="I63" i="4"/>
  <c r="H63" i="4"/>
  <c r="G63" i="4"/>
  <c r="I62" i="4"/>
  <c r="H62" i="4"/>
  <c r="G62" i="4"/>
  <c r="I61" i="4"/>
  <c r="H61" i="4"/>
  <c r="G61" i="4"/>
  <c r="I60" i="4"/>
  <c r="H60" i="4"/>
  <c r="G60" i="4"/>
  <c r="I59" i="4"/>
  <c r="H59" i="4"/>
  <c r="G59" i="4"/>
  <c r="I58" i="4"/>
  <c r="H58" i="4"/>
  <c r="G58" i="4"/>
  <c r="I27" i="4"/>
  <c r="G27" i="4"/>
  <c r="G5" i="4"/>
  <c r="I3" i="4"/>
  <c r="G57" i="4"/>
  <c r="I56" i="4"/>
  <c r="H56" i="4"/>
  <c r="G56" i="4"/>
  <c r="I55" i="4"/>
  <c r="H55" i="4"/>
  <c r="G55" i="4"/>
  <c r="I54" i="4"/>
  <c r="H54" i="4"/>
  <c r="G54" i="4"/>
  <c r="I53" i="4"/>
  <c r="H53" i="4"/>
  <c r="G53" i="4"/>
  <c r="I52" i="4"/>
  <c r="H52" i="4"/>
  <c r="G52" i="4"/>
  <c r="I51" i="4"/>
  <c r="I32" i="4"/>
  <c r="G32" i="4"/>
  <c r="I30" i="4"/>
  <c r="G30" i="4"/>
  <c r="I29" i="4"/>
  <c r="H29" i="4"/>
  <c r="G29" i="4"/>
  <c r="G28" i="4"/>
  <c r="H5" i="4"/>
  <c r="G3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G34" i="4"/>
  <c r="H33" i="4"/>
  <c r="I31" i="4"/>
  <c r="G31" i="4"/>
  <c r="H30" i="4"/>
  <c r="H28" i="4"/>
  <c r="I26" i="4"/>
  <c r="H7" i="4"/>
  <c r="I5" i="4"/>
  <c r="H4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I39" i="4"/>
  <c r="H39" i="4"/>
  <c r="G39" i="4"/>
  <c r="I34" i="4"/>
  <c r="I33" i="4"/>
  <c r="G33" i="4"/>
  <c r="I28" i="4"/>
  <c r="H27" i="4"/>
  <c r="G26" i="4"/>
  <c r="G7" i="4"/>
  <c r="G6" i="4"/>
  <c r="G38" i="4"/>
  <c r="I37" i="4"/>
  <c r="H37" i="4"/>
  <c r="G37" i="4"/>
  <c r="I36" i="4"/>
  <c r="H36" i="4"/>
  <c r="G36" i="4"/>
  <c r="I35" i="4"/>
  <c r="H35" i="4"/>
  <c r="G35" i="4"/>
  <c r="H34" i="4"/>
  <c r="H32" i="4"/>
  <c r="H31" i="4"/>
  <c r="H26" i="4"/>
  <c r="H3" i="4"/>
  <c r="H6" i="4"/>
  <c r="G4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G19" i="4"/>
  <c r="I18" i="4"/>
  <c r="H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8" i="4"/>
  <c r="H8" i="4"/>
  <c r="G8" i="4"/>
  <c r="I7" i="4"/>
  <c r="I6" i="4"/>
  <c r="I4" i="4"/>
  <c r="I63" i="2"/>
  <c r="H62" i="2"/>
  <c r="I61" i="2"/>
  <c r="H61" i="2"/>
  <c r="I60" i="2"/>
  <c r="I59" i="2"/>
  <c r="H59" i="2"/>
  <c r="H58" i="2"/>
  <c r="H57" i="2"/>
  <c r="G57" i="2"/>
  <c r="I56" i="2"/>
  <c r="G56" i="2"/>
  <c r="G55" i="2"/>
  <c r="H54" i="2"/>
  <c r="G54" i="2"/>
  <c r="I53" i="2"/>
  <c r="I52" i="2"/>
  <c r="I51" i="2"/>
  <c r="H51" i="2"/>
  <c r="H50" i="2"/>
  <c r="G49" i="2"/>
  <c r="I48" i="2"/>
  <c r="I47" i="2"/>
  <c r="I46" i="2"/>
  <c r="I45" i="2"/>
  <c r="H44" i="2"/>
  <c r="I43" i="2"/>
  <c r="H43" i="2"/>
  <c r="I42" i="2"/>
  <c r="H41" i="2"/>
  <c r="G40" i="2"/>
  <c r="H39" i="2"/>
  <c r="H37" i="2"/>
  <c r="G37" i="2"/>
  <c r="I36" i="2"/>
  <c r="H35" i="2"/>
  <c r="I34" i="2"/>
  <c r="I32" i="2"/>
  <c r="I31" i="2"/>
  <c r="G31" i="2"/>
  <c r="G30" i="2"/>
  <c r="H28" i="2"/>
  <c r="G27" i="2"/>
  <c r="I25" i="2"/>
  <c r="H24" i="2"/>
  <c r="I22" i="2"/>
  <c r="I21" i="2"/>
  <c r="H20" i="2"/>
  <c r="I19" i="2"/>
  <c r="I18" i="2"/>
  <c r="I17" i="2"/>
  <c r="G17" i="2"/>
  <c r="I16" i="2"/>
  <c r="I15" i="2"/>
  <c r="G15" i="2"/>
  <c r="I14" i="2"/>
  <c r="I13" i="2"/>
  <c r="H12" i="2"/>
  <c r="G11" i="2"/>
  <c r="H9" i="2"/>
  <c r="H8" i="2"/>
  <c r="I7" i="2"/>
  <c r="H5" i="2"/>
  <c r="H4" i="2"/>
  <c r="I3" i="2"/>
  <c r="H3" i="2"/>
  <c r="H63" i="2"/>
  <c r="I62" i="2"/>
  <c r="G62" i="2"/>
  <c r="G61" i="2"/>
  <c r="H60" i="2"/>
  <c r="G60" i="2"/>
  <c r="G59" i="2"/>
  <c r="G58" i="2"/>
  <c r="H56" i="2"/>
  <c r="I54" i="2"/>
  <c r="G53" i="2"/>
  <c r="H52" i="2"/>
  <c r="I50" i="2"/>
  <c r="G50" i="2"/>
  <c r="H49" i="2"/>
  <c r="G48" i="2"/>
  <c r="G47" i="2"/>
  <c r="G46" i="2"/>
  <c r="I44" i="2"/>
  <c r="G44" i="2"/>
  <c r="I41" i="2"/>
  <c r="G41" i="2"/>
  <c r="I38" i="2"/>
  <c r="G38" i="2"/>
  <c r="I35" i="2"/>
  <c r="H34" i="2"/>
  <c r="G34" i="2"/>
  <c r="H33" i="2"/>
  <c r="H32" i="2"/>
  <c r="H31" i="2"/>
  <c r="H30" i="2"/>
  <c r="H29" i="2"/>
  <c r="I28" i="2"/>
  <c r="H27" i="2"/>
  <c r="G26" i="2"/>
  <c r="G25" i="2"/>
  <c r="I24" i="2"/>
  <c r="G23" i="2"/>
  <c r="H22" i="2"/>
  <c r="H21" i="2"/>
  <c r="H19" i="2"/>
  <c r="G19" i="2"/>
  <c r="H18" i="2"/>
  <c r="H16" i="2"/>
  <c r="G14" i="2"/>
  <c r="H13" i="2"/>
  <c r="G12" i="2"/>
  <c r="H11" i="2"/>
  <c r="G10" i="2"/>
  <c r="G9" i="2"/>
  <c r="G8" i="2"/>
  <c r="G7" i="2"/>
  <c r="G6" i="2"/>
  <c r="G5" i="2"/>
  <c r="G4" i="2"/>
  <c r="G63" i="2"/>
  <c r="I58" i="2"/>
  <c r="I57" i="2"/>
  <c r="H55" i="2"/>
  <c r="H53" i="2"/>
  <c r="G52" i="2"/>
  <c r="G51" i="2"/>
  <c r="I49" i="2"/>
  <c r="H48" i="2"/>
  <c r="H47" i="2"/>
  <c r="H46" i="2"/>
  <c r="G45" i="2"/>
  <c r="G43" i="2"/>
  <c r="H42" i="2"/>
  <c r="H40" i="2"/>
  <c r="I39" i="2"/>
  <c r="H38" i="2"/>
  <c r="I37" i="2"/>
  <c r="H36" i="2"/>
  <c r="I33" i="2"/>
  <c r="I30" i="2"/>
  <c r="I29" i="2"/>
  <c r="I27" i="2"/>
  <c r="I23" i="2"/>
  <c r="H23" i="2"/>
  <c r="G22" i="2"/>
  <c r="I20" i="2"/>
  <c r="G18" i="2"/>
  <c r="H15" i="2"/>
  <c r="H14" i="2"/>
  <c r="G13" i="2"/>
  <c r="H10" i="2"/>
  <c r="H7" i="2"/>
  <c r="H6" i="2"/>
  <c r="I5" i="2"/>
  <c r="G3" i="2"/>
  <c r="I55" i="2"/>
  <c r="H45" i="2"/>
  <c r="G42" i="2"/>
  <c r="I40" i="2"/>
  <c r="G39" i="2"/>
  <c r="G36" i="2"/>
  <c r="G35" i="2"/>
  <c r="G33" i="2"/>
  <c r="G32" i="2"/>
  <c r="G29" i="2"/>
  <c r="G28" i="2"/>
  <c r="I26" i="2"/>
  <c r="H26" i="2"/>
  <c r="H25" i="2"/>
  <c r="G24" i="2"/>
  <c r="G21" i="2"/>
  <c r="G20" i="2"/>
  <c r="H17" i="2"/>
  <c r="G16" i="2"/>
  <c r="I12" i="2"/>
  <c r="I11" i="2"/>
  <c r="I10" i="2"/>
  <c r="I9" i="2"/>
  <c r="I8" i="2"/>
  <c r="I6" i="2"/>
  <c r="I4" i="2"/>
  <c r="I4" i="1"/>
  <c r="I8" i="1"/>
  <c r="I10" i="1"/>
  <c r="I12" i="1"/>
  <c r="I13" i="1"/>
  <c r="I15" i="1"/>
  <c r="I21" i="1"/>
  <c r="I23" i="1"/>
  <c r="I25" i="1"/>
  <c r="I28" i="1"/>
  <c r="I30" i="1"/>
  <c r="I33" i="1"/>
  <c r="I36" i="1"/>
  <c r="I38" i="1"/>
  <c r="I40" i="1"/>
  <c r="I43" i="1"/>
  <c r="I46" i="1"/>
  <c r="I48" i="1"/>
  <c r="I51" i="1"/>
  <c r="I58" i="1"/>
  <c r="I59" i="1"/>
  <c r="I62" i="1"/>
  <c r="H4" i="1"/>
  <c r="H7" i="1"/>
  <c r="H9" i="1"/>
  <c r="H12" i="1"/>
  <c r="H14" i="1"/>
  <c r="H17" i="1"/>
  <c r="H19" i="1"/>
  <c r="H26" i="1"/>
  <c r="H28" i="1"/>
  <c r="H30" i="1"/>
  <c r="H31" i="1"/>
  <c r="H35" i="1"/>
  <c r="H38" i="1"/>
  <c r="H40" i="1"/>
  <c r="H42" i="1"/>
  <c r="H44" i="1"/>
  <c r="H46" i="1"/>
  <c r="H48" i="1"/>
  <c r="H51" i="1"/>
  <c r="H52" i="1"/>
  <c r="H56" i="1"/>
  <c r="H61" i="1"/>
  <c r="H3" i="1"/>
  <c r="G4" i="1"/>
  <c r="G10" i="1"/>
  <c r="G12" i="1"/>
  <c r="G16" i="1"/>
  <c r="G22" i="1"/>
  <c r="G26" i="1"/>
  <c r="G28" i="1"/>
  <c r="G30" i="1"/>
  <c r="G31" i="1"/>
  <c r="G33" i="1"/>
  <c r="G35" i="1"/>
  <c r="G45" i="1"/>
  <c r="G48" i="1"/>
  <c r="G50" i="1"/>
  <c r="G51" i="1"/>
  <c r="G53" i="1"/>
  <c r="G56" i="1"/>
  <c r="G61" i="1"/>
  <c r="G3" i="1"/>
  <c r="I5" i="1"/>
  <c r="I9" i="1"/>
  <c r="I14" i="1"/>
  <c r="I20" i="1"/>
  <c r="I24" i="1"/>
  <c r="I26" i="1"/>
  <c r="I27" i="1"/>
  <c r="I35" i="1"/>
  <c r="I39" i="1"/>
  <c r="I42" i="1"/>
  <c r="I44" i="1"/>
  <c r="I50" i="1"/>
  <c r="I54" i="1"/>
  <c r="I60" i="1"/>
  <c r="H5" i="1"/>
  <c r="H8" i="1"/>
  <c r="H10" i="1"/>
  <c r="H13" i="1"/>
  <c r="H16" i="1"/>
  <c r="H18" i="1"/>
  <c r="H20" i="1"/>
  <c r="H21" i="1"/>
  <c r="H22" i="1"/>
  <c r="H24" i="1"/>
  <c r="H27" i="1"/>
  <c r="H29" i="1"/>
  <c r="H33" i="1"/>
  <c r="H36" i="1"/>
  <c r="H37" i="1"/>
  <c r="H39" i="1"/>
  <c r="H43" i="1"/>
  <c r="H45" i="1"/>
  <c r="H49" i="1"/>
  <c r="H50" i="1"/>
  <c r="H54" i="1"/>
  <c r="H57" i="1"/>
  <c r="H59" i="1"/>
  <c r="G7" i="1"/>
  <c r="G11" i="1"/>
  <c r="G14" i="1"/>
  <c r="G17" i="1"/>
  <c r="G18" i="1"/>
  <c r="G21" i="1"/>
  <c r="G23" i="1"/>
  <c r="G25" i="1"/>
  <c r="G27" i="1"/>
  <c r="G29" i="1"/>
  <c r="G32" i="1"/>
  <c r="G34" i="1"/>
  <c r="G36" i="1"/>
  <c r="G38" i="1"/>
  <c r="G41" i="1"/>
  <c r="G43" i="1"/>
  <c r="G47" i="1"/>
  <c r="G54" i="1"/>
  <c r="G58" i="1"/>
  <c r="G60" i="1"/>
  <c r="G63" i="1"/>
  <c r="I61" i="1"/>
  <c r="H34" i="1"/>
  <c r="H55" i="1"/>
  <c r="H60" i="1"/>
  <c r="H63" i="1"/>
  <c r="G5" i="1"/>
  <c r="G13" i="1"/>
  <c r="G44" i="1"/>
  <c r="G59" i="1"/>
  <c r="I6" i="1"/>
  <c r="I11" i="1"/>
  <c r="I17" i="1"/>
  <c r="I19" i="1"/>
  <c r="I31" i="1"/>
  <c r="I34" i="1"/>
  <c r="I41" i="1"/>
  <c r="I47" i="1"/>
  <c r="I52" i="1"/>
  <c r="I55" i="1"/>
  <c r="I57" i="1"/>
  <c r="I63" i="1"/>
  <c r="H6" i="1"/>
  <c r="H15" i="1"/>
  <c r="H25" i="1"/>
  <c r="H32" i="1"/>
  <c r="H41" i="1"/>
  <c r="H47" i="1"/>
  <c r="H58" i="1"/>
  <c r="G6" i="1"/>
  <c r="G8" i="1"/>
  <c r="G19" i="1"/>
  <c r="G37" i="1"/>
  <c r="G42" i="1"/>
  <c r="G49" i="1"/>
  <c r="G57" i="1"/>
  <c r="G62" i="1"/>
  <c r="I7" i="1"/>
  <c r="I16" i="1"/>
  <c r="I18" i="1"/>
  <c r="I22" i="1"/>
  <c r="I29" i="1"/>
  <c r="I32" i="1"/>
  <c r="I37" i="1"/>
  <c r="I45" i="1"/>
  <c r="I49" i="1"/>
  <c r="I53" i="1"/>
  <c r="I56" i="1"/>
  <c r="H11" i="1"/>
  <c r="H23" i="1"/>
  <c r="H62" i="1"/>
  <c r="I3" i="1"/>
  <c r="G9" i="1"/>
  <c r="G15" i="1"/>
  <c r="G20" i="1"/>
  <c r="G24" i="1"/>
  <c r="G40" i="1"/>
  <c r="G46" i="1"/>
  <c r="G52" i="1"/>
  <c r="G55" i="1"/>
  <c r="H53" i="1"/>
  <c r="G39" i="1"/>
  <c r="I56" i="3"/>
  <c r="I48" i="3"/>
  <c r="G33" i="3"/>
  <c r="H56" i="3"/>
  <c r="G56" i="3"/>
  <c r="H33" i="3"/>
  <c r="I33" i="3"/>
  <c r="I63" i="3"/>
  <c r="H63" i="3"/>
  <c r="G63" i="3"/>
  <c r="I62" i="3"/>
  <c r="H62" i="3"/>
  <c r="G62" i="3"/>
  <c r="I61" i="3"/>
  <c r="H61" i="3"/>
  <c r="G61" i="3"/>
  <c r="I60" i="3"/>
  <c r="H60" i="3"/>
  <c r="G60" i="3"/>
  <c r="I59" i="3"/>
  <c r="H59" i="3"/>
  <c r="G59" i="3"/>
  <c r="I58" i="3"/>
  <c r="H58" i="3"/>
  <c r="G58" i="3"/>
  <c r="I57" i="3"/>
  <c r="H57" i="3"/>
  <c r="G57" i="3"/>
  <c r="I49" i="3"/>
  <c r="H49" i="3"/>
  <c r="G49" i="3"/>
  <c r="G25" i="3"/>
  <c r="I24" i="3"/>
  <c r="G24" i="3"/>
  <c r="G23" i="3"/>
  <c r="H22" i="3"/>
  <c r="H18" i="3"/>
  <c r="G17" i="3"/>
  <c r="G16" i="3"/>
  <c r="H15" i="3"/>
  <c r="H14" i="3"/>
  <c r="H13" i="3"/>
  <c r="H12" i="3"/>
  <c r="H11" i="3"/>
  <c r="G11" i="3"/>
  <c r="I10" i="3"/>
  <c r="H10" i="3"/>
  <c r="G10" i="3"/>
  <c r="G9" i="3"/>
  <c r="G8" i="3"/>
  <c r="G7" i="3"/>
  <c r="I6" i="3"/>
  <c r="H6" i="3"/>
  <c r="G6" i="3"/>
  <c r="I5" i="3"/>
  <c r="H5" i="3"/>
  <c r="G5" i="3"/>
  <c r="I4" i="3"/>
  <c r="H4" i="3"/>
  <c r="G4" i="3"/>
  <c r="I55" i="3"/>
  <c r="H55" i="3"/>
  <c r="G55" i="3"/>
  <c r="I54" i="3"/>
  <c r="H54" i="3"/>
  <c r="G54" i="3"/>
  <c r="I53" i="3"/>
  <c r="H53" i="3"/>
  <c r="G53" i="3"/>
  <c r="I52" i="3"/>
  <c r="H52" i="3"/>
  <c r="G52" i="3"/>
  <c r="I51" i="3"/>
  <c r="H51" i="3"/>
  <c r="G51" i="3"/>
  <c r="I50" i="3"/>
  <c r="H50" i="3"/>
  <c r="G50" i="3"/>
  <c r="I23" i="3"/>
  <c r="I19" i="3"/>
  <c r="I17" i="3"/>
  <c r="I15" i="3"/>
  <c r="G15" i="3"/>
  <c r="I13" i="3"/>
  <c r="G13" i="3"/>
  <c r="I11" i="3"/>
  <c r="H9" i="3"/>
  <c r="I8" i="3"/>
  <c r="H8" i="3"/>
  <c r="I3" i="3"/>
  <c r="H3" i="3"/>
  <c r="H48" i="3"/>
  <c r="G48" i="3"/>
  <c r="I47" i="3"/>
  <c r="H47" i="3"/>
  <c r="G47" i="3"/>
  <c r="I46" i="3"/>
  <c r="H46" i="3"/>
  <c r="G46" i="3"/>
  <c r="I45" i="3"/>
  <c r="H45" i="3"/>
  <c r="G45" i="3"/>
  <c r="I44" i="3"/>
  <c r="H44" i="3"/>
  <c r="G44" i="3"/>
  <c r="I43" i="3"/>
  <c r="H43" i="3"/>
  <c r="G43" i="3"/>
  <c r="I42" i="3"/>
  <c r="H42" i="3"/>
  <c r="G42" i="3"/>
  <c r="I41" i="3"/>
  <c r="H41" i="3"/>
  <c r="G41" i="3"/>
  <c r="I40" i="3"/>
  <c r="H40" i="3"/>
  <c r="G40" i="3"/>
  <c r="I39" i="3"/>
  <c r="H39" i="3"/>
  <c r="G39" i="3"/>
  <c r="I38" i="3"/>
  <c r="H38" i="3"/>
  <c r="G38" i="3"/>
  <c r="I37" i="3"/>
  <c r="H37" i="3"/>
  <c r="G37" i="3"/>
  <c r="I36" i="3"/>
  <c r="H36" i="3"/>
  <c r="G36" i="3"/>
  <c r="I35" i="3"/>
  <c r="H35" i="3"/>
  <c r="G35" i="3"/>
  <c r="I34" i="3"/>
  <c r="H34" i="3"/>
  <c r="G34" i="3"/>
  <c r="H24" i="3"/>
  <c r="H23" i="3"/>
  <c r="I21" i="3"/>
  <c r="H21" i="3"/>
  <c r="G21" i="3"/>
  <c r="H20" i="3"/>
  <c r="H19" i="3"/>
  <c r="G19" i="3"/>
  <c r="H17" i="3"/>
  <c r="H16" i="3"/>
  <c r="G14" i="3"/>
  <c r="G12" i="3"/>
  <c r="G3" i="3"/>
  <c r="I32" i="3"/>
  <c r="H32" i="3"/>
  <c r="G32" i="3"/>
  <c r="I31" i="3"/>
  <c r="H31" i="3"/>
  <c r="G31" i="3"/>
  <c r="I30" i="3"/>
  <c r="H30" i="3"/>
  <c r="G30" i="3"/>
  <c r="I29" i="3"/>
  <c r="H29" i="3"/>
  <c r="G29" i="3"/>
  <c r="I28" i="3"/>
  <c r="H28" i="3"/>
  <c r="G28" i="3"/>
  <c r="I27" i="3"/>
  <c r="H27" i="3"/>
  <c r="G27" i="3"/>
  <c r="I26" i="3"/>
  <c r="H26" i="3"/>
  <c r="G26" i="3"/>
  <c r="I25" i="3"/>
  <c r="H25" i="3"/>
  <c r="I22" i="3"/>
  <c r="G22" i="3"/>
  <c r="I20" i="3"/>
  <c r="G20" i="3"/>
  <c r="I18" i="3"/>
  <c r="G18" i="3"/>
  <c r="I16" i="3"/>
  <c r="I14" i="3"/>
  <c r="I12" i="3"/>
  <c r="I9" i="3"/>
  <c r="I7" i="3"/>
  <c r="H7" i="3"/>
</calcChain>
</file>

<file path=xl/sharedStrings.xml><?xml version="1.0" encoding="utf-8"?>
<sst xmlns="http://schemas.openxmlformats.org/spreadsheetml/2006/main" count="85" uniqueCount="17">
  <si>
    <t>Φp1/deg</t>
    <phoneticPr fontId="1" type="noConversion"/>
  </si>
  <si>
    <t>Φp2/deg</t>
    <phoneticPr fontId="1" type="noConversion"/>
  </si>
  <si>
    <t>Φp3/deg</t>
    <phoneticPr fontId="1" type="noConversion"/>
  </si>
  <si>
    <t>Φp4/deg</t>
    <phoneticPr fontId="1" type="noConversion"/>
  </si>
  <si>
    <t>Beam Dir.</t>
    <phoneticPr fontId="1" type="noConversion"/>
  </si>
  <si>
    <t>Freq.</t>
    <phoneticPr fontId="1" type="noConversion"/>
  </si>
  <si>
    <t>理论要求相位</t>
    <phoneticPr fontId="1" type="noConversion"/>
  </si>
  <si>
    <t>6bit量化相位</t>
    <phoneticPr fontId="1" type="noConversion"/>
  </si>
  <si>
    <t>ξ1/deg</t>
    <phoneticPr fontId="1" type="noConversion"/>
  </si>
  <si>
    <t>ξ2/deg</t>
    <phoneticPr fontId="1" type="noConversion"/>
  </si>
  <si>
    <t>ξ3/deg</t>
    <phoneticPr fontId="1" type="noConversion"/>
  </si>
  <si>
    <t>ξ4/deg</t>
    <phoneticPr fontId="1" type="noConversion"/>
  </si>
  <si>
    <t>校准后视在相位</t>
    <phoneticPr fontId="1" type="noConversion"/>
  </si>
  <si>
    <t>ψ1(deg)</t>
    <phoneticPr fontId="1" type="noConversion"/>
  </si>
  <si>
    <t>ψ2(deg)</t>
    <phoneticPr fontId="1" type="noConversion"/>
  </si>
  <si>
    <t>ψ3(deg)</t>
    <phoneticPr fontId="1" type="noConversion"/>
  </si>
  <si>
    <t>ψ4(deg)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</si>
</sst>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b/>
      <i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5"/>
  <sheetViews>
    <sheetView tabSelected="1" workbookViewId="0">
      <pane ySplit="2" topLeftCell="A3" activePane="bottomLeft" state="frozen"/>
      <selection pane="bottomLeft" activeCell="M15" sqref="M15"/>
    </sheetView>
  </sheetViews>
  <sheetFormatPr defaultRowHeight="14"/>
  <cols>
    <col min="1" max="1" width="9.81640625" customWidth="1"/>
    <col min="2" max="2" width="6.453125" customWidth="1"/>
    <col min="3" max="3" width="10.7265625" customWidth="1"/>
    <col min="4" max="4" width="10.81640625" customWidth="1"/>
    <col min="5" max="5" width="11" customWidth="1"/>
    <col min="6" max="6" width="6.26953125" customWidth="1"/>
    <col min="7" max="7" width="6.36328125" customWidth="1"/>
    <col min="8" max="8" width="6" customWidth="1"/>
    <col min="9" max="9" width="7.1796875" customWidth="1"/>
    <col min="10" max="10" width="8.54296875" customWidth="1"/>
    <col min="12" max="12" width="8.1796875" customWidth="1"/>
    <col min="15" max="15" width="7.453125" customWidth="1"/>
    <col min="17" max="17" width="8" customWidth="1"/>
    <col min="19" max="19" width="7.54296875" customWidth="1"/>
    <col min="21" max="21" width="6.90625" customWidth="1"/>
    <col min="23" max="23" width="7" customWidth="1"/>
    <col min="24" max="24" width="7.08984375" customWidth="1"/>
  </cols>
  <sheetData>
    <row r="1" spans="1:24" ht="14" customHeight="1">
      <c r="A1" s="5" t="s">
        <v>5</v>
      </c>
      <c r="B1" s="5">
        <v>212</v>
      </c>
      <c r="C1" s="12" t="s">
        <v>6</v>
      </c>
      <c r="D1" s="12"/>
      <c r="E1" s="12"/>
      <c r="F1" s="1"/>
      <c r="G1" s="12" t="s">
        <v>7</v>
      </c>
      <c r="H1" s="12"/>
      <c r="I1" s="12"/>
      <c r="K1" s="12" t="s">
        <v>12</v>
      </c>
      <c r="L1" s="12"/>
      <c r="M1" s="12"/>
    </row>
    <row r="2" spans="1:24" ht="15.5">
      <c r="A2" s="5" t="s">
        <v>4</v>
      </c>
      <c r="B2" s="4" t="s">
        <v>13</v>
      </c>
      <c r="C2" s="4" t="s">
        <v>14</v>
      </c>
      <c r="D2" s="4" t="s">
        <v>15</v>
      </c>
      <c r="E2" s="4" t="s">
        <v>16</v>
      </c>
      <c r="F2" s="2" t="s">
        <v>8</v>
      </c>
      <c r="G2" s="4" t="s">
        <v>9</v>
      </c>
      <c r="H2" s="4" t="s">
        <v>10</v>
      </c>
      <c r="I2" s="4" t="s">
        <v>11</v>
      </c>
      <c r="J2" s="2" t="s">
        <v>0</v>
      </c>
      <c r="K2" s="4" t="s">
        <v>1</v>
      </c>
      <c r="L2" s="4" t="s">
        <v>2</v>
      </c>
      <c r="M2" s="4" t="s">
        <v>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6">
        <v>-30</v>
      </c>
      <c r="B3" s="6">
        <v>0</v>
      </c>
      <c r="C3" s="7">
        <f t="shared" ref="C3:C34" si="0">MOD(-180*Freq*15.52*2*SIN(A3*PI()/180)/300,360)</f>
        <v>174.14399999999955</v>
      </c>
      <c r="D3" s="6">
        <f t="shared" ref="D3:D34" si="1">MOD(-180*Freq*2*15.52*2*SIN(A3*PI()/180)/300,360)</f>
        <v>348.2879999999991</v>
      </c>
      <c r="E3" s="6">
        <f t="shared" ref="E3:E34" si="2">MOD(-180*Freq*3*15.52*2*SIN(A3*PI()/180)/300,360)</f>
        <v>162.43199999999888</v>
      </c>
      <c r="F3" s="6">
        <v>0</v>
      </c>
      <c r="G3" s="6">
        <f>MOD(ROUND(C3/5.625,0)*5.625,360)</f>
        <v>174.375</v>
      </c>
      <c r="H3" s="6">
        <f t="shared" ref="H3:I18" si="3">MOD(ROUND(D3/5.625,0)*5.625,360)</f>
        <v>348.75</v>
      </c>
      <c r="I3" s="6">
        <f t="shared" si="3"/>
        <v>163.125</v>
      </c>
      <c r="J3" s="6">
        <v>0</v>
      </c>
      <c r="K3" s="9">
        <v>174</v>
      </c>
      <c r="L3" s="9">
        <v>348</v>
      </c>
      <c r="M3" s="9">
        <v>162</v>
      </c>
      <c r="N3" s="8"/>
      <c r="O3" s="8"/>
      <c r="P3" s="8"/>
    </row>
    <row r="4" spans="1:24">
      <c r="A4" s="6">
        <v>-29</v>
      </c>
      <c r="B4" s="6">
        <v>0</v>
      </c>
      <c r="C4" s="7">
        <f t="shared" si="0"/>
        <v>114.16800590316961</v>
      </c>
      <c r="D4" s="6">
        <f t="shared" si="1"/>
        <v>228.33601180633923</v>
      </c>
      <c r="E4" s="6">
        <f t="shared" si="2"/>
        <v>342.50401770950793</v>
      </c>
      <c r="F4" s="6">
        <v>0</v>
      </c>
      <c r="G4" s="6">
        <f t="shared" ref="G4:I63" si="4">MOD(ROUND(C4/5.625,0)*5.625,360)</f>
        <v>112.5</v>
      </c>
      <c r="H4" s="6">
        <f t="shared" si="3"/>
        <v>230.625</v>
      </c>
      <c r="I4" s="6">
        <f t="shared" si="3"/>
        <v>343.125</v>
      </c>
      <c r="J4" s="6">
        <v>0</v>
      </c>
      <c r="K4" s="9"/>
      <c r="L4" s="9"/>
      <c r="M4" s="9"/>
      <c r="N4" s="8"/>
      <c r="O4" s="8"/>
      <c r="P4" s="8"/>
    </row>
    <row r="5" spans="1:24">
      <c r="A5" s="6">
        <v>-28</v>
      </c>
      <c r="B5" s="6">
        <v>0</v>
      </c>
      <c r="C5" s="7">
        <f t="shared" si="0"/>
        <v>53.608937688779179</v>
      </c>
      <c r="D5" s="6">
        <f t="shared" si="1"/>
        <v>107.21787537755836</v>
      </c>
      <c r="E5" s="6">
        <f t="shared" si="2"/>
        <v>160.82681306633731</v>
      </c>
      <c r="F5" s="6">
        <v>0</v>
      </c>
      <c r="G5" s="6">
        <f t="shared" si="4"/>
        <v>56.25</v>
      </c>
      <c r="H5" s="6">
        <f t="shared" si="3"/>
        <v>106.875</v>
      </c>
      <c r="I5" s="6">
        <f t="shared" si="3"/>
        <v>163.125</v>
      </c>
      <c r="J5" s="6">
        <v>0</v>
      </c>
      <c r="K5" s="9"/>
      <c r="L5" s="9"/>
      <c r="M5" s="9"/>
      <c r="N5" s="8"/>
      <c r="O5" s="8"/>
      <c r="P5" s="8"/>
    </row>
    <row r="6" spans="1:24">
      <c r="A6" s="6">
        <v>-27</v>
      </c>
      <c r="B6" s="6">
        <v>0</v>
      </c>
      <c r="C6" s="7">
        <f t="shared" si="0"/>
        <v>352.48524223565551</v>
      </c>
      <c r="D6" s="6">
        <f t="shared" si="1"/>
        <v>344.97048447131101</v>
      </c>
      <c r="E6" s="6">
        <f t="shared" si="2"/>
        <v>337.45572670696583</v>
      </c>
      <c r="F6" s="6">
        <v>0</v>
      </c>
      <c r="G6" s="6">
        <f t="shared" si="4"/>
        <v>354.375</v>
      </c>
      <c r="H6" s="6">
        <f t="shared" si="3"/>
        <v>343.125</v>
      </c>
      <c r="I6" s="6">
        <f t="shared" si="3"/>
        <v>337.5</v>
      </c>
      <c r="J6" s="6">
        <v>0</v>
      </c>
      <c r="K6" s="9"/>
      <c r="L6" s="9"/>
      <c r="M6" s="9"/>
      <c r="N6" s="8"/>
      <c r="O6" s="8"/>
      <c r="P6" s="8"/>
    </row>
    <row r="7" spans="1:24">
      <c r="A7" s="6">
        <v>-26</v>
      </c>
      <c r="B7" s="6">
        <v>0</v>
      </c>
      <c r="C7" s="7">
        <f t="shared" si="0"/>
        <v>290.81553841355276</v>
      </c>
      <c r="D7" s="6">
        <f t="shared" si="1"/>
        <v>221.63107682710552</v>
      </c>
      <c r="E7" s="6">
        <f t="shared" si="2"/>
        <v>152.4466152406585</v>
      </c>
      <c r="F7" s="6">
        <v>0</v>
      </c>
      <c r="G7" s="6">
        <f t="shared" si="4"/>
        <v>292.5</v>
      </c>
      <c r="H7" s="6">
        <f t="shared" si="3"/>
        <v>219.375</v>
      </c>
      <c r="I7" s="6">
        <f t="shared" si="3"/>
        <v>151.875</v>
      </c>
      <c r="J7" s="6">
        <v>0</v>
      </c>
      <c r="K7" s="9"/>
      <c r="L7" s="9"/>
      <c r="M7" s="9"/>
      <c r="N7" s="8"/>
      <c r="O7" s="8"/>
      <c r="P7" s="8"/>
    </row>
    <row r="8" spans="1:24">
      <c r="A8" s="6">
        <v>-25</v>
      </c>
      <c r="B8" s="6">
        <v>0</v>
      </c>
      <c r="C8" s="7">
        <f t="shared" si="0"/>
        <v>228.61861141166264</v>
      </c>
      <c r="D8" s="6">
        <f t="shared" si="1"/>
        <v>97.237222823325283</v>
      </c>
      <c r="E8" s="6">
        <f t="shared" si="2"/>
        <v>325.85583423498792</v>
      </c>
      <c r="F8" s="6">
        <v>0</v>
      </c>
      <c r="G8" s="6">
        <f t="shared" si="4"/>
        <v>230.625</v>
      </c>
      <c r="H8" s="6">
        <f t="shared" si="3"/>
        <v>95.625</v>
      </c>
      <c r="I8" s="6">
        <f t="shared" si="3"/>
        <v>326.25</v>
      </c>
      <c r="J8" s="6">
        <v>0</v>
      </c>
      <c r="K8" s="10"/>
      <c r="L8" s="11"/>
      <c r="M8" s="9"/>
      <c r="N8" s="8"/>
      <c r="O8" s="8"/>
      <c r="P8" s="8"/>
    </row>
    <row r="9" spans="1:24">
      <c r="A9" s="6">
        <v>-24</v>
      </c>
      <c r="B9" s="6">
        <v>0</v>
      </c>
      <c r="C9" s="7">
        <f t="shared" si="0"/>
        <v>165.91340701646459</v>
      </c>
      <c r="D9" s="6">
        <f t="shared" si="1"/>
        <v>331.82681403292918</v>
      </c>
      <c r="E9" s="6">
        <f t="shared" si="2"/>
        <v>137.74022104939468</v>
      </c>
      <c r="F9" s="6">
        <v>0</v>
      </c>
      <c r="G9" s="6">
        <f t="shared" si="4"/>
        <v>163.125</v>
      </c>
      <c r="H9" s="6">
        <f t="shared" si="3"/>
        <v>331.875</v>
      </c>
      <c r="I9" s="6">
        <f t="shared" si="3"/>
        <v>135</v>
      </c>
      <c r="J9" s="6">
        <v>0</v>
      </c>
      <c r="K9" s="9"/>
      <c r="L9" s="9"/>
      <c r="M9" s="9"/>
      <c r="N9" s="8"/>
      <c r="O9" s="8"/>
      <c r="P9" s="8"/>
    </row>
    <row r="10" spans="1:24">
      <c r="A10" s="6">
        <v>-23</v>
      </c>
      <c r="B10" s="6">
        <v>0</v>
      </c>
      <c r="C10" s="7">
        <f t="shared" si="0"/>
        <v>102.71902584065742</v>
      </c>
      <c r="D10" s="6">
        <f t="shared" si="1"/>
        <v>205.43805168131485</v>
      </c>
      <c r="E10" s="6">
        <f t="shared" si="2"/>
        <v>308.1570775219725</v>
      </c>
      <c r="F10" s="6">
        <v>0</v>
      </c>
      <c r="G10" s="6">
        <f t="shared" si="4"/>
        <v>101.25</v>
      </c>
      <c r="H10" s="6">
        <f t="shared" si="3"/>
        <v>208.125</v>
      </c>
      <c r="I10" s="6">
        <f t="shared" si="3"/>
        <v>309.375</v>
      </c>
      <c r="J10" s="6">
        <v>0</v>
      </c>
      <c r="K10" s="9"/>
      <c r="L10" s="9"/>
      <c r="M10" s="9"/>
      <c r="N10" s="8"/>
      <c r="O10" s="8"/>
      <c r="P10" s="8"/>
    </row>
    <row r="11" spans="1:24">
      <c r="A11" s="6">
        <v>-22</v>
      </c>
      <c r="B11" s="6">
        <v>0</v>
      </c>
      <c r="C11" s="7">
        <f t="shared" si="0"/>
        <v>39.054717504924156</v>
      </c>
      <c r="D11" s="6">
        <f t="shared" si="1"/>
        <v>78.109435009848312</v>
      </c>
      <c r="E11" s="6">
        <f t="shared" si="2"/>
        <v>117.16415251477338</v>
      </c>
      <c r="F11" s="6">
        <v>0</v>
      </c>
      <c r="G11" s="6">
        <f t="shared" si="4"/>
        <v>39.375</v>
      </c>
      <c r="H11" s="6">
        <f t="shared" si="3"/>
        <v>78.75</v>
      </c>
      <c r="I11" s="6">
        <f t="shared" si="3"/>
        <v>118.125</v>
      </c>
      <c r="J11" s="6">
        <v>0</v>
      </c>
      <c r="K11" s="9"/>
      <c r="L11" s="9"/>
      <c r="M11" s="9"/>
      <c r="N11" s="8"/>
      <c r="O11" s="8"/>
      <c r="P11" s="8"/>
    </row>
    <row r="12" spans="1:24">
      <c r="A12" s="6">
        <v>-21</v>
      </c>
      <c r="B12" s="6">
        <v>0</v>
      </c>
      <c r="C12" s="7">
        <f t="shared" si="0"/>
        <v>334.93987477431438</v>
      </c>
      <c r="D12" s="6">
        <f t="shared" si="1"/>
        <v>309.87974954862875</v>
      </c>
      <c r="E12" s="6">
        <f t="shared" si="2"/>
        <v>284.81962432294313</v>
      </c>
      <c r="F12" s="6">
        <v>0</v>
      </c>
      <c r="G12" s="6">
        <f t="shared" si="4"/>
        <v>337.5</v>
      </c>
      <c r="H12" s="6">
        <f t="shared" si="3"/>
        <v>309.375</v>
      </c>
      <c r="I12" s="6">
        <f t="shared" si="3"/>
        <v>286.875</v>
      </c>
      <c r="J12" s="6">
        <v>0</v>
      </c>
      <c r="K12" s="9"/>
      <c r="L12" s="9"/>
      <c r="M12" s="9"/>
      <c r="N12" s="8"/>
      <c r="O12" s="8"/>
      <c r="P12" s="8"/>
    </row>
    <row r="13" spans="1:24">
      <c r="A13" s="6">
        <v>-20</v>
      </c>
      <c r="B13" s="6">
        <v>0</v>
      </c>
      <c r="C13" s="7">
        <f t="shared" si="0"/>
        <v>270.39402765101772</v>
      </c>
      <c r="D13" s="6">
        <f t="shared" si="1"/>
        <v>180.78805530203545</v>
      </c>
      <c r="E13" s="6">
        <f t="shared" si="2"/>
        <v>91.182082953053396</v>
      </c>
      <c r="F13" s="6">
        <v>0</v>
      </c>
      <c r="G13" s="6">
        <f t="shared" si="4"/>
        <v>270</v>
      </c>
      <c r="H13" s="6">
        <f t="shared" si="3"/>
        <v>180</v>
      </c>
      <c r="I13" s="6">
        <f t="shared" si="3"/>
        <v>90</v>
      </c>
      <c r="J13" s="6">
        <v>0</v>
      </c>
      <c r="K13" s="9"/>
      <c r="L13" s="9"/>
      <c r="M13" s="9"/>
      <c r="N13" s="8"/>
      <c r="O13" s="8"/>
      <c r="P13" s="8"/>
    </row>
    <row r="14" spans="1:24">
      <c r="A14" s="6">
        <v>-19</v>
      </c>
      <c r="B14" s="6">
        <v>0</v>
      </c>
      <c r="C14" s="7">
        <f t="shared" si="0"/>
        <v>205.43683742533813</v>
      </c>
      <c r="D14" s="6">
        <f t="shared" si="1"/>
        <v>50.873674850676252</v>
      </c>
      <c r="E14" s="6">
        <f t="shared" si="2"/>
        <v>256.31051227601392</v>
      </c>
      <c r="F14" s="6">
        <v>0</v>
      </c>
      <c r="G14" s="6">
        <f t="shared" si="4"/>
        <v>208.125</v>
      </c>
      <c r="H14" s="6">
        <f t="shared" si="3"/>
        <v>50.625</v>
      </c>
      <c r="I14" s="6">
        <f t="shared" si="3"/>
        <v>258.75</v>
      </c>
      <c r="J14" s="6">
        <v>0</v>
      </c>
      <c r="K14" s="10"/>
      <c r="L14" s="11"/>
      <c r="M14" s="9"/>
      <c r="N14" s="8"/>
      <c r="O14" s="8"/>
      <c r="P14" s="8"/>
    </row>
    <row r="15" spans="1:24">
      <c r="A15" s="6">
        <v>-18</v>
      </c>
      <c r="B15" s="6">
        <v>0</v>
      </c>
      <c r="C15" s="7">
        <f t="shared" si="0"/>
        <v>140.0880906866721</v>
      </c>
      <c r="D15" s="6">
        <f t="shared" si="1"/>
        <v>280.17618137334421</v>
      </c>
      <c r="E15" s="6">
        <f t="shared" si="2"/>
        <v>60.264272060016538</v>
      </c>
      <c r="F15" s="6">
        <v>0</v>
      </c>
      <c r="G15" s="6">
        <f t="shared" si="4"/>
        <v>140.625</v>
      </c>
      <c r="H15" s="6">
        <f t="shared" si="3"/>
        <v>281.25</v>
      </c>
      <c r="I15" s="6">
        <f t="shared" si="3"/>
        <v>61.875</v>
      </c>
      <c r="J15" s="6">
        <v>0</v>
      </c>
      <c r="K15" s="9"/>
      <c r="L15" s="9"/>
      <c r="M15" s="9"/>
      <c r="N15" s="8"/>
      <c r="O15" s="8"/>
      <c r="P15" s="8"/>
    </row>
    <row r="16" spans="1:24">
      <c r="A16" s="6">
        <v>-17</v>
      </c>
      <c r="B16" s="6">
        <v>0</v>
      </c>
      <c r="C16" s="7">
        <f t="shared" si="0"/>
        <v>74.36769329632466</v>
      </c>
      <c r="D16" s="6">
        <f t="shared" si="1"/>
        <v>148.73538659264932</v>
      </c>
      <c r="E16" s="6">
        <f t="shared" si="2"/>
        <v>223.10307988897421</v>
      </c>
      <c r="F16" s="6">
        <v>0</v>
      </c>
      <c r="G16" s="6">
        <f t="shared" si="4"/>
        <v>73.125</v>
      </c>
      <c r="H16" s="6">
        <f t="shared" si="3"/>
        <v>146.25</v>
      </c>
      <c r="I16" s="6">
        <f t="shared" si="3"/>
        <v>225</v>
      </c>
      <c r="J16" s="6">
        <v>0</v>
      </c>
      <c r="K16" s="9"/>
      <c r="L16" s="9"/>
      <c r="M16" s="9"/>
      <c r="N16" s="8"/>
      <c r="O16" s="8"/>
      <c r="P16" s="8"/>
    </row>
    <row r="17" spans="1:16">
      <c r="A17" s="6">
        <v>-16</v>
      </c>
      <c r="B17" s="6">
        <v>0</v>
      </c>
      <c r="C17" s="7">
        <f t="shared" si="0"/>
        <v>8.2956643239879213</v>
      </c>
      <c r="D17" s="6">
        <f t="shared" si="1"/>
        <v>16.591328647975843</v>
      </c>
      <c r="E17" s="6">
        <f t="shared" si="2"/>
        <v>24.886992971963991</v>
      </c>
      <c r="F17" s="6">
        <v>0</v>
      </c>
      <c r="G17" s="6">
        <f t="shared" si="4"/>
        <v>5.625</v>
      </c>
      <c r="H17" s="6">
        <f t="shared" si="3"/>
        <v>16.875</v>
      </c>
      <c r="I17" s="6">
        <f t="shared" si="3"/>
        <v>22.5</v>
      </c>
      <c r="J17" s="6">
        <v>0</v>
      </c>
      <c r="K17" s="9"/>
      <c r="L17" s="9"/>
      <c r="M17" s="9"/>
      <c r="N17" s="8"/>
      <c r="O17" s="8"/>
      <c r="P17" s="8"/>
    </row>
    <row r="18" spans="1:16">
      <c r="A18" s="6">
        <v>-15</v>
      </c>
      <c r="B18" s="6">
        <v>0</v>
      </c>
      <c r="C18" s="7">
        <f t="shared" si="0"/>
        <v>301.89212994974127</v>
      </c>
      <c r="D18" s="6">
        <f t="shared" si="1"/>
        <v>243.78425989948255</v>
      </c>
      <c r="E18" s="6">
        <f t="shared" si="2"/>
        <v>185.67638984922405</v>
      </c>
      <c r="F18" s="6">
        <v>0</v>
      </c>
      <c r="G18" s="6">
        <f t="shared" si="4"/>
        <v>303.75</v>
      </c>
      <c r="H18" s="6">
        <f t="shared" si="3"/>
        <v>241.875</v>
      </c>
      <c r="I18" s="6">
        <f t="shared" si="3"/>
        <v>185.625</v>
      </c>
      <c r="J18" s="6">
        <v>0</v>
      </c>
      <c r="K18" s="9"/>
      <c r="L18" s="9"/>
      <c r="M18" s="9"/>
      <c r="N18" s="8"/>
      <c r="O18" s="8"/>
      <c r="P18" s="8"/>
    </row>
    <row r="19" spans="1:16">
      <c r="A19" s="6">
        <v>-14</v>
      </c>
      <c r="B19" s="6">
        <v>0</v>
      </c>
      <c r="C19" s="7">
        <f t="shared" si="0"/>
        <v>235.17731733342089</v>
      </c>
      <c r="D19" s="6">
        <f t="shared" si="1"/>
        <v>110.35463466684178</v>
      </c>
      <c r="E19" s="6">
        <f t="shared" si="2"/>
        <v>345.53195200026221</v>
      </c>
      <c r="F19" s="6">
        <v>0</v>
      </c>
      <c r="G19" s="6">
        <f t="shared" si="4"/>
        <v>236.25</v>
      </c>
      <c r="H19" s="6">
        <f t="shared" si="4"/>
        <v>112.5</v>
      </c>
      <c r="I19" s="6">
        <f t="shared" si="4"/>
        <v>343.125</v>
      </c>
      <c r="J19" s="6">
        <v>0</v>
      </c>
      <c r="K19" s="9"/>
      <c r="L19" s="9"/>
      <c r="M19" s="9"/>
      <c r="N19" s="8"/>
      <c r="O19" s="8"/>
      <c r="P19" s="8"/>
    </row>
    <row r="20" spans="1:16">
      <c r="A20" s="6">
        <v>-13</v>
      </c>
      <c r="B20" s="6">
        <v>0</v>
      </c>
      <c r="C20" s="7">
        <f t="shared" si="0"/>
        <v>168.17154845323012</v>
      </c>
      <c r="D20" s="6">
        <f t="shared" si="1"/>
        <v>336.34309690646023</v>
      </c>
      <c r="E20" s="6">
        <f t="shared" si="2"/>
        <v>144.51464535968989</v>
      </c>
      <c r="F20" s="6">
        <v>0</v>
      </c>
      <c r="G20" s="6">
        <f t="shared" si="4"/>
        <v>168.75</v>
      </c>
      <c r="H20" s="6">
        <f t="shared" si="4"/>
        <v>337.5</v>
      </c>
      <c r="I20" s="6">
        <f t="shared" si="4"/>
        <v>146.25</v>
      </c>
      <c r="J20" s="6">
        <v>0</v>
      </c>
      <c r="K20" s="9"/>
      <c r="L20" s="9"/>
      <c r="M20" s="9"/>
      <c r="N20" s="8"/>
      <c r="O20" s="8"/>
      <c r="P20" s="8"/>
    </row>
    <row r="21" spans="1:16">
      <c r="A21" s="6">
        <v>-12</v>
      </c>
      <c r="B21" s="6">
        <v>0</v>
      </c>
      <c r="C21" s="7">
        <f t="shared" si="0"/>
        <v>100.89523391546925</v>
      </c>
      <c r="D21" s="6">
        <f t="shared" si="1"/>
        <v>201.7904678309385</v>
      </c>
      <c r="E21" s="6">
        <f t="shared" si="2"/>
        <v>302.68570174640763</v>
      </c>
      <c r="F21" s="6">
        <v>0</v>
      </c>
      <c r="G21" s="6">
        <f t="shared" si="4"/>
        <v>101.25</v>
      </c>
      <c r="H21" s="6">
        <f t="shared" si="4"/>
        <v>202.5</v>
      </c>
      <c r="I21" s="6">
        <f t="shared" si="4"/>
        <v>303.75</v>
      </c>
      <c r="J21" s="6">
        <v>0</v>
      </c>
      <c r="K21" s="9"/>
      <c r="L21" s="9"/>
      <c r="M21" s="9"/>
      <c r="N21" s="8"/>
      <c r="O21" s="8"/>
      <c r="P21" s="8"/>
    </row>
    <row r="22" spans="1:16">
      <c r="A22" s="6">
        <v>-11</v>
      </c>
      <c r="B22" s="6">
        <v>0</v>
      </c>
      <c r="C22" s="7">
        <f t="shared" si="0"/>
        <v>33.36886673726724</v>
      </c>
      <c r="D22" s="6">
        <f t="shared" si="1"/>
        <v>66.73773347453448</v>
      </c>
      <c r="E22" s="6">
        <f t="shared" si="2"/>
        <v>100.10660021180183</v>
      </c>
      <c r="F22" s="6">
        <v>0</v>
      </c>
      <c r="G22" s="6">
        <f t="shared" si="4"/>
        <v>33.75</v>
      </c>
      <c r="H22" s="6">
        <f t="shared" si="4"/>
        <v>67.5</v>
      </c>
      <c r="I22" s="6">
        <f t="shared" si="4"/>
        <v>101.25</v>
      </c>
      <c r="J22" s="6">
        <v>0</v>
      </c>
      <c r="K22" s="9"/>
      <c r="L22" s="9"/>
      <c r="M22" s="9"/>
      <c r="N22" s="8"/>
      <c r="O22" s="8"/>
      <c r="P22" s="8"/>
    </row>
    <row r="23" spans="1:16">
      <c r="A23" s="6">
        <v>-10</v>
      </c>
      <c r="B23" s="6">
        <v>0</v>
      </c>
      <c r="C23" s="7">
        <f t="shared" si="0"/>
        <v>325.6130161042089</v>
      </c>
      <c r="D23" s="6">
        <f t="shared" si="1"/>
        <v>291.22603220841779</v>
      </c>
      <c r="E23" s="6">
        <f t="shared" si="2"/>
        <v>256.8390483126268</v>
      </c>
      <c r="F23" s="6">
        <v>0</v>
      </c>
      <c r="G23" s="6">
        <f t="shared" si="4"/>
        <v>326.25</v>
      </c>
      <c r="H23" s="6">
        <f t="shared" si="4"/>
        <v>292.5</v>
      </c>
      <c r="I23" s="6">
        <f t="shared" si="4"/>
        <v>258.75</v>
      </c>
      <c r="J23" s="6">
        <v>0</v>
      </c>
      <c r="K23" s="9"/>
      <c r="L23" s="9"/>
      <c r="M23" s="9"/>
      <c r="N23" s="8"/>
      <c r="O23" s="8"/>
      <c r="P23" s="8"/>
    </row>
    <row r="24" spans="1:16">
      <c r="A24" s="6">
        <v>-9</v>
      </c>
      <c r="B24" s="6">
        <v>0</v>
      </c>
      <c r="C24" s="7">
        <f t="shared" si="0"/>
        <v>257.648321104763</v>
      </c>
      <c r="D24" s="6">
        <f t="shared" si="1"/>
        <v>155.296642209526</v>
      </c>
      <c r="E24" s="6">
        <f t="shared" si="2"/>
        <v>52.944963314289225</v>
      </c>
      <c r="F24" s="6">
        <v>0</v>
      </c>
      <c r="G24" s="6">
        <f t="shared" si="4"/>
        <v>258.75</v>
      </c>
      <c r="H24" s="6">
        <f t="shared" si="4"/>
        <v>157.5</v>
      </c>
      <c r="I24" s="6">
        <f t="shared" si="4"/>
        <v>50.625</v>
      </c>
      <c r="J24" s="6">
        <v>0</v>
      </c>
      <c r="K24" s="9"/>
      <c r="L24" s="9"/>
      <c r="M24" s="9"/>
      <c r="N24" s="8"/>
      <c r="O24" s="8"/>
      <c r="P24" s="8"/>
    </row>
    <row r="25" spans="1:16">
      <c r="A25" s="6">
        <v>-8</v>
      </c>
      <c r="B25" s="6">
        <v>0</v>
      </c>
      <c r="C25" s="7">
        <f t="shared" si="0"/>
        <v>189.49548444341485</v>
      </c>
      <c r="D25" s="6">
        <f t="shared" si="1"/>
        <v>18.990968886829705</v>
      </c>
      <c r="E25" s="6">
        <f t="shared" si="2"/>
        <v>208.48645333024433</v>
      </c>
      <c r="F25" s="6">
        <v>0</v>
      </c>
      <c r="G25" s="6">
        <f t="shared" si="4"/>
        <v>191.25</v>
      </c>
      <c r="H25" s="6">
        <f t="shared" si="4"/>
        <v>16.875</v>
      </c>
      <c r="I25" s="6">
        <f t="shared" si="4"/>
        <v>208.125</v>
      </c>
      <c r="J25" s="6">
        <v>0</v>
      </c>
      <c r="K25" s="9"/>
      <c r="L25" s="9"/>
      <c r="M25" s="9"/>
      <c r="N25" s="8"/>
      <c r="O25" s="8"/>
      <c r="P25" s="8"/>
    </row>
    <row r="26" spans="1:16">
      <c r="A26" s="6">
        <v>-7</v>
      </c>
      <c r="B26" s="6">
        <v>0</v>
      </c>
      <c r="C26" s="7">
        <f t="shared" si="0"/>
        <v>121.17526613442283</v>
      </c>
      <c r="D26" s="6">
        <f t="shared" si="1"/>
        <v>242.35053226884565</v>
      </c>
      <c r="E26" s="6">
        <f t="shared" si="2"/>
        <v>3.5257984032684817</v>
      </c>
      <c r="F26" s="6">
        <v>0</v>
      </c>
      <c r="G26" s="6">
        <f t="shared" si="4"/>
        <v>123.75</v>
      </c>
      <c r="H26" s="6">
        <f t="shared" si="4"/>
        <v>241.875</v>
      </c>
      <c r="I26" s="6">
        <f t="shared" si="4"/>
        <v>5.625</v>
      </c>
      <c r="J26" s="6">
        <v>0</v>
      </c>
      <c r="K26" s="9"/>
      <c r="L26" s="9"/>
      <c r="M26" s="9"/>
      <c r="N26" s="8"/>
      <c r="O26" s="8"/>
      <c r="P26" s="8"/>
    </row>
    <row r="27" spans="1:16">
      <c r="A27" s="6">
        <v>-6</v>
      </c>
      <c r="B27" s="6">
        <v>0</v>
      </c>
      <c r="C27" s="7">
        <f t="shared" si="0"/>
        <v>52.70847717811688</v>
      </c>
      <c r="D27" s="6">
        <f t="shared" si="1"/>
        <v>105.41695435623376</v>
      </c>
      <c r="E27" s="6">
        <f t="shared" si="2"/>
        <v>158.12543153435058</v>
      </c>
      <c r="F27" s="6">
        <v>0</v>
      </c>
      <c r="G27" s="6">
        <f t="shared" si="4"/>
        <v>50.625</v>
      </c>
      <c r="H27" s="6">
        <f t="shared" si="4"/>
        <v>106.875</v>
      </c>
      <c r="I27" s="6">
        <f t="shared" si="4"/>
        <v>157.5</v>
      </c>
      <c r="J27" s="6">
        <v>0</v>
      </c>
      <c r="K27" s="9"/>
      <c r="L27" s="9"/>
      <c r="M27" s="9"/>
      <c r="N27" s="8"/>
      <c r="O27" s="8"/>
      <c r="P27" s="8"/>
    </row>
    <row r="28" spans="1:16">
      <c r="A28" s="6">
        <v>-5</v>
      </c>
      <c r="B28" s="6">
        <v>0</v>
      </c>
      <c r="C28" s="7">
        <f t="shared" si="0"/>
        <v>344.11597322166574</v>
      </c>
      <c r="D28" s="6">
        <f t="shared" si="1"/>
        <v>328.23194644333148</v>
      </c>
      <c r="E28" s="6">
        <f t="shared" si="2"/>
        <v>312.34791966499711</v>
      </c>
      <c r="F28" s="6">
        <v>0</v>
      </c>
      <c r="G28" s="6">
        <f t="shared" si="4"/>
        <v>343.125</v>
      </c>
      <c r="H28" s="6">
        <f t="shared" si="4"/>
        <v>326.25</v>
      </c>
      <c r="I28" s="6">
        <f t="shared" si="4"/>
        <v>315</v>
      </c>
      <c r="J28" s="6">
        <v>0</v>
      </c>
      <c r="K28" s="9"/>
      <c r="L28" s="9"/>
      <c r="M28" s="9"/>
      <c r="N28" s="8"/>
      <c r="O28" s="8"/>
      <c r="P28" s="8"/>
    </row>
    <row r="29" spans="1:16">
      <c r="A29" s="6">
        <v>-4</v>
      </c>
      <c r="B29" s="6">
        <v>0</v>
      </c>
      <c r="C29" s="7">
        <f t="shared" si="0"/>
        <v>275.418648206245</v>
      </c>
      <c r="D29" s="6">
        <f t="shared" si="1"/>
        <v>190.83729641248999</v>
      </c>
      <c r="E29" s="6">
        <f t="shared" si="2"/>
        <v>106.25594461873493</v>
      </c>
      <c r="F29" s="6">
        <v>0</v>
      </c>
      <c r="G29" s="6">
        <f t="shared" si="4"/>
        <v>275.625</v>
      </c>
      <c r="H29" s="6">
        <f t="shared" si="4"/>
        <v>191.25</v>
      </c>
      <c r="I29" s="6">
        <f t="shared" si="4"/>
        <v>106.875</v>
      </c>
      <c r="J29" s="6">
        <v>0</v>
      </c>
      <c r="K29" s="9"/>
      <c r="L29" s="9"/>
      <c r="M29" s="9"/>
      <c r="N29" s="8"/>
      <c r="O29" s="8"/>
      <c r="P29" s="8"/>
    </row>
    <row r="30" spans="1:16">
      <c r="A30" s="6">
        <v>-3</v>
      </c>
      <c r="B30" s="6">
        <v>0</v>
      </c>
      <c r="C30" s="7">
        <f t="shared" si="0"/>
        <v>206.63742800254019</v>
      </c>
      <c r="D30" s="6">
        <f t="shared" si="1"/>
        <v>53.27485600508038</v>
      </c>
      <c r="E30" s="6">
        <f t="shared" si="2"/>
        <v>259.91228400762054</v>
      </c>
      <c r="F30" s="6">
        <v>0</v>
      </c>
      <c r="G30" s="6">
        <f t="shared" si="4"/>
        <v>208.125</v>
      </c>
      <c r="H30" s="6">
        <f t="shared" si="4"/>
        <v>50.625</v>
      </c>
      <c r="I30" s="6">
        <f t="shared" si="4"/>
        <v>258.75</v>
      </c>
      <c r="J30" s="6">
        <v>0</v>
      </c>
      <c r="K30" s="9"/>
      <c r="L30" s="9"/>
      <c r="M30" s="9"/>
      <c r="N30" s="8"/>
      <c r="O30" s="8"/>
      <c r="P30" s="8"/>
    </row>
    <row r="31" spans="1:16">
      <c r="A31" s="6">
        <v>-2</v>
      </c>
      <c r="B31" s="6">
        <v>0</v>
      </c>
      <c r="C31" s="7">
        <f t="shared" si="0"/>
        <v>137.79326403652414</v>
      </c>
      <c r="D31" s="6">
        <f t="shared" si="1"/>
        <v>275.58652807304827</v>
      </c>
      <c r="E31" s="6">
        <f t="shared" si="2"/>
        <v>53.379792109572406</v>
      </c>
      <c r="F31" s="6">
        <v>0</v>
      </c>
      <c r="G31" s="6">
        <f t="shared" si="4"/>
        <v>135</v>
      </c>
      <c r="H31" s="6">
        <f t="shared" si="4"/>
        <v>275.625</v>
      </c>
      <c r="I31" s="6">
        <f t="shared" si="4"/>
        <v>50.625</v>
      </c>
      <c r="J31" s="6">
        <v>0</v>
      </c>
      <c r="K31" s="9"/>
      <c r="L31" s="9"/>
      <c r="M31" s="9"/>
      <c r="N31" s="8"/>
      <c r="O31" s="8"/>
      <c r="P31" s="8"/>
    </row>
    <row r="32" spans="1:16">
      <c r="A32" s="6">
        <v>-1</v>
      </c>
      <c r="B32" s="6">
        <v>0</v>
      </c>
      <c r="C32" s="7">
        <f t="shared" si="0"/>
        <v>68.907126907449239</v>
      </c>
      <c r="D32" s="6">
        <f t="shared" si="1"/>
        <v>137.81425381489848</v>
      </c>
      <c r="E32" s="6">
        <f t="shared" si="2"/>
        <v>206.7213807223477</v>
      </c>
      <c r="F32" s="1">
        <v>0</v>
      </c>
      <c r="G32" s="6">
        <f t="shared" si="4"/>
        <v>67.5</v>
      </c>
      <c r="H32" s="6">
        <f t="shared" si="4"/>
        <v>140.625</v>
      </c>
      <c r="I32" s="6">
        <f t="shared" si="4"/>
        <v>208.125</v>
      </c>
      <c r="J32" s="1">
        <v>0</v>
      </c>
      <c r="K32" s="9">
        <v>69</v>
      </c>
      <c r="L32" s="9">
        <v>138</v>
      </c>
      <c r="M32" s="9">
        <v>207</v>
      </c>
      <c r="N32" s="8"/>
      <c r="O32" s="8"/>
      <c r="P32" s="8"/>
    </row>
    <row r="33" spans="1:16">
      <c r="A33" s="6">
        <v>0</v>
      </c>
      <c r="B33" s="6">
        <v>0</v>
      </c>
      <c r="C33" s="7">
        <f t="shared" si="0"/>
        <v>0</v>
      </c>
      <c r="D33" s="6">
        <f t="shared" si="1"/>
        <v>0</v>
      </c>
      <c r="E33" s="6">
        <f t="shared" si="2"/>
        <v>0</v>
      </c>
      <c r="F33" s="6">
        <v>0</v>
      </c>
      <c r="G33" s="6">
        <f t="shared" si="4"/>
        <v>0</v>
      </c>
      <c r="H33" s="6">
        <f t="shared" si="4"/>
        <v>0</v>
      </c>
      <c r="I33" s="6">
        <f t="shared" si="4"/>
        <v>0</v>
      </c>
      <c r="J33" s="6">
        <v>0</v>
      </c>
      <c r="K33" s="9">
        <v>0</v>
      </c>
      <c r="L33" s="9">
        <v>0</v>
      </c>
      <c r="M33" s="9">
        <v>0</v>
      </c>
      <c r="N33" s="8"/>
      <c r="O33" s="8"/>
      <c r="P33" s="8"/>
    </row>
    <row r="34" spans="1:16">
      <c r="A34" s="6">
        <v>1</v>
      </c>
      <c r="B34" s="6">
        <v>0</v>
      </c>
      <c r="C34" s="7">
        <f t="shared" si="0"/>
        <v>291.09287309255075</v>
      </c>
      <c r="D34" s="6">
        <f t="shared" si="1"/>
        <v>222.18574618510152</v>
      </c>
      <c r="E34" s="6">
        <f t="shared" si="2"/>
        <v>153.2786192776523</v>
      </c>
      <c r="F34" s="6">
        <v>0</v>
      </c>
      <c r="G34" s="6">
        <f t="shared" si="4"/>
        <v>292.5</v>
      </c>
      <c r="H34" s="6">
        <f t="shared" si="4"/>
        <v>219.375</v>
      </c>
      <c r="I34" s="6">
        <f t="shared" si="4"/>
        <v>151.875</v>
      </c>
      <c r="J34" s="6">
        <v>0</v>
      </c>
      <c r="K34" s="9">
        <v>290</v>
      </c>
      <c r="L34" s="9">
        <v>222</v>
      </c>
      <c r="M34" s="9">
        <v>154</v>
      </c>
      <c r="N34" s="8"/>
      <c r="O34" s="8"/>
      <c r="P34" s="8"/>
    </row>
    <row r="35" spans="1:16">
      <c r="A35" s="6">
        <v>2</v>
      </c>
      <c r="B35" s="6">
        <v>0</v>
      </c>
      <c r="C35" s="7">
        <f t="shared" ref="C35:C63" si="5">MOD(-180*Freq*15.52*2*SIN(A35*PI()/180)/300,360)</f>
        <v>222.20673596347586</v>
      </c>
      <c r="D35" s="6">
        <f t="shared" ref="D35:D63" si="6">MOD(-180*Freq*2*15.52*2*SIN(A35*PI()/180)/300,360)</f>
        <v>84.413471926951729</v>
      </c>
      <c r="E35" s="6">
        <f t="shared" ref="E35:E63" si="7">MOD(-180*Freq*3*15.52*2*SIN(A35*PI()/180)/300,360)</f>
        <v>306.62020789042759</v>
      </c>
      <c r="F35" s="6">
        <v>0</v>
      </c>
      <c r="G35" s="6">
        <f t="shared" si="4"/>
        <v>225</v>
      </c>
      <c r="H35" s="6">
        <f t="shared" si="4"/>
        <v>84.375</v>
      </c>
      <c r="I35" s="6">
        <f t="shared" si="4"/>
        <v>309.375</v>
      </c>
      <c r="J35" s="6">
        <v>0</v>
      </c>
      <c r="K35" s="9"/>
      <c r="L35" s="9"/>
      <c r="M35" s="9"/>
      <c r="N35" s="8"/>
      <c r="O35" s="8"/>
      <c r="P35" s="8"/>
    </row>
    <row r="36" spans="1:16">
      <c r="A36" s="6">
        <v>3</v>
      </c>
      <c r="B36" s="6">
        <v>0</v>
      </c>
      <c r="C36" s="7">
        <f t="shared" si="5"/>
        <v>153.36257199745981</v>
      </c>
      <c r="D36" s="6">
        <f t="shared" si="6"/>
        <v>306.72514399491962</v>
      </c>
      <c r="E36" s="6">
        <f t="shared" si="7"/>
        <v>100.08771599237946</v>
      </c>
      <c r="F36" s="6">
        <v>0</v>
      </c>
      <c r="G36" s="6">
        <f t="shared" si="4"/>
        <v>151.875</v>
      </c>
      <c r="H36" s="6">
        <f t="shared" si="4"/>
        <v>309.375</v>
      </c>
      <c r="I36" s="6">
        <f t="shared" si="4"/>
        <v>101.25</v>
      </c>
      <c r="J36" s="6">
        <v>0</v>
      </c>
      <c r="K36" s="9"/>
      <c r="L36" s="9"/>
      <c r="M36" s="9"/>
      <c r="N36" s="8"/>
      <c r="O36" s="8"/>
      <c r="P36" s="8"/>
    </row>
    <row r="37" spans="1:16">
      <c r="A37" s="6">
        <v>4</v>
      </c>
      <c r="B37" s="6">
        <v>0</v>
      </c>
      <c r="C37" s="7">
        <f t="shared" si="5"/>
        <v>84.581351793755005</v>
      </c>
      <c r="D37" s="6">
        <f t="shared" si="6"/>
        <v>169.16270358751001</v>
      </c>
      <c r="E37" s="6">
        <f t="shared" si="7"/>
        <v>253.74405538126507</v>
      </c>
      <c r="F37" s="6">
        <v>0</v>
      </c>
      <c r="G37" s="6">
        <f t="shared" si="4"/>
        <v>84.375</v>
      </c>
      <c r="H37" s="6">
        <f t="shared" si="4"/>
        <v>168.75</v>
      </c>
      <c r="I37" s="6">
        <f t="shared" si="4"/>
        <v>253.125</v>
      </c>
      <c r="J37" s="6">
        <v>0</v>
      </c>
      <c r="K37" s="9"/>
      <c r="L37" s="9"/>
      <c r="M37" s="9"/>
      <c r="N37" s="8"/>
      <c r="O37" s="8"/>
      <c r="P37" s="8"/>
    </row>
    <row r="38" spans="1:16">
      <c r="A38" s="6">
        <v>5</v>
      </c>
      <c r="B38" s="6">
        <v>0</v>
      </c>
      <c r="C38" s="7">
        <f t="shared" si="5"/>
        <v>15.88402677833426</v>
      </c>
      <c r="D38" s="6">
        <f t="shared" si="6"/>
        <v>31.768053556668519</v>
      </c>
      <c r="E38" s="6">
        <f t="shared" si="7"/>
        <v>47.652080335002893</v>
      </c>
      <c r="F38" s="6">
        <v>0</v>
      </c>
      <c r="G38" s="6">
        <f t="shared" si="4"/>
        <v>16.875</v>
      </c>
      <c r="H38" s="6">
        <f t="shared" si="4"/>
        <v>33.75</v>
      </c>
      <c r="I38" s="6">
        <f t="shared" si="4"/>
        <v>45</v>
      </c>
      <c r="J38" s="6">
        <v>0</v>
      </c>
      <c r="K38" s="9"/>
      <c r="L38" s="9"/>
      <c r="M38" s="9"/>
      <c r="N38" s="8"/>
      <c r="O38" s="8"/>
      <c r="P38" s="8"/>
    </row>
    <row r="39" spans="1:16">
      <c r="A39" s="6">
        <v>6</v>
      </c>
      <c r="B39" s="6">
        <v>0</v>
      </c>
      <c r="C39" s="7">
        <f t="shared" si="5"/>
        <v>307.29152282188312</v>
      </c>
      <c r="D39" s="6">
        <f t="shared" si="6"/>
        <v>254.58304564376624</v>
      </c>
      <c r="E39" s="6">
        <f t="shared" si="7"/>
        <v>201.87456846564942</v>
      </c>
      <c r="F39" s="6">
        <v>0</v>
      </c>
      <c r="G39" s="6">
        <f t="shared" si="4"/>
        <v>309.375</v>
      </c>
      <c r="H39" s="6">
        <f t="shared" si="4"/>
        <v>253.125</v>
      </c>
      <c r="I39" s="6">
        <f t="shared" si="4"/>
        <v>202.5</v>
      </c>
      <c r="J39" s="6">
        <v>0</v>
      </c>
      <c r="K39" s="10"/>
      <c r="L39" s="11"/>
      <c r="M39" s="9"/>
      <c r="N39" s="8"/>
      <c r="O39" s="8"/>
      <c r="P39" s="8"/>
    </row>
    <row r="40" spans="1:16">
      <c r="A40" s="6">
        <v>7</v>
      </c>
      <c r="B40" s="6">
        <v>0</v>
      </c>
      <c r="C40" s="7">
        <f t="shared" si="5"/>
        <v>238.82473386557717</v>
      </c>
      <c r="D40" s="6">
        <f t="shared" si="6"/>
        <v>117.64946773115435</v>
      </c>
      <c r="E40" s="6">
        <f t="shared" si="7"/>
        <v>356.47420159673152</v>
      </c>
      <c r="F40" s="6">
        <v>0</v>
      </c>
      <c r="G40" s="6">
        <f t="shared" si="4"/>
        <v>236.25</v>
      </c>
      <c r="H40" s="6">
        <f t="shared" si="4"/>
        <v>118.125</v>
      </c>
      <c r="I40" s="6">
        <f t="shared" si="4"/>
        <v>354.375</v>
      </c>
      <c r="J40" s="6">
        <v>0</v>
      </c>
      <c r="K40" s="9"/>
      <c r="L40" s="9"/>
      <c r="M40" s="9"/>
      <c r="N40" s="8"/>
      <c r="O40" s="8"/>
      <c r="P40" s="8"/>
    </row>
    <row r="41" spans="1:16">
      <c r="A41" s="6">
        <v>8</v>
      </c>
      <c r="B41" s="6">
        <v>0</v>
      </c>
      <c r="C41" s="7">
        <f t="shared" si="5"/>
        <v>170.50451555658515</v>
      </c>
      <c r="D41" s="6">
        <f t="shared" si="6"/>
        <v>341.00903111317029</v>
      </c>
      <c r="E41" s="6">
        <f t="shared" si="7"/>
        <v>151.51354666975567</v>
      </c>
      <c r="F41" s="6">
        <v>0</v>
      </c>
      <c r="G41" s="6">
        <f t="shared" si="4"/>
        <v>168.75</v>
      </c>
      <c r="H41" s="6">
        <f t="shared" si="4"/>
        <v>343.125</v>
      </c>
      <c r="I41" s="6">
        <f t="shared" si="4"/>
        <v>151.875</v>
      </c>
      <c r="J41" s="6">
        <v>0</v>
      </c>
      <c r="K41" s="9"/>
      <c r="L41" s="9"/>
      <c r="M41" s="9"/>
      <c r="N41" s="8"/>
      <c r="O41" s="8"/>
      <c r="P41" s="8"/>
    </row>
    <row r="42" spans="1:16">
      <c r="A42" s="6">
        <v>9</v>
      </c>
      <c r="B42" s="6">
        <v>0</v>
      </c>
      <c r="C42" s="7">
        <f t="shared" si="5"/>
        <v>102.351678895237</v>
      </c>
      <c r="D42" s="6">
        <f t="shared" si="6"/>
        <v>204.703357790474</v>
      </c>
      <c r="E42" s="6">
        <f t="shared" si="7"/>
        <v>307.05503668571077</v>
      </c>
      <c r="F42" s="6">
        <v>0</v>
      </c>
      <c r="G42" s="6">
        <f t="shared" si="4"/>
        <v>101.25</v>
      </c>
      <c r="H42" s="6">
        <f t="shared" si="4"/>
        <v>202.5</v>
      </c>
      <c r="I42" s="6">
        <f t="shared" si="4"/>
        <v>309.375</v>
      </c>
      <c r="J42" s="6">
        <v>0</v>
      </c>
      <c r="K42" s="9"/>
      <c r="L42" s="9"/>
      <c r="M42" s="9"/>
      <c r="N42" s="8"/>
      <c r="O42" s="8"/>
      <c r="P42" s="8"/>
    </row>
    <row r="43" spans="1:16">
      <c r="A43" s="6">
        <v>10</v>
      </c>
      <c r="B43" s="6">
        <v>0</v>
      </c>
      <c r="C43" s="7">
        <f t="shared" si="5"/>
        <v>34.386983895791104</v>
      </c>
      <c r="D43" s="6">
        <f t="shared" si="6"/>
        <v>68.773967791582209</v>
      </c>
      <c r="E43" s="6">
        <f t="shared" si="7"/>
        <v>103.1609516873732</v>
      </c>
      <c r="F43" s="6">
        <v>0</v>
      </c>
      <c r="G43" s="6">
        <f t="shared" si="4"/>
        <v>33.75</v>
      </c>
      <c r="H43" s="6">
        <f t="shared" si="4"/>
        <v>67.5</v>
      </c>
      <c r="I43" s="6">
        <f t="shared" si="4"/>
        <v>101.25</v>
      </c>
      <c r="J43" s="6">
        <v>0</v>
      </c>
      <c r="K43" s="9"/>
      <c r="L43" s="9"/>
      <c r="M43" s="9"/>
      <c r="N43" s="8"/>
      <c r="O43" s="8"/>
      <c r="P43" s="8"/>
    </row>
    <row r="44" spans="1:16">
      <c r="A44" s="6">
        <v>11</v>
      </c>
      <c r="B44" s="6">
        <v>0</v>
      </c>
      <c r="C44" s="7">
        <f t="shared" si="5"/>
        <v>326.63113326273276</v>
      </c>
      <c r="D44" s="6">
        <f t="shared" si="6"/>
        <v>293.26226652546552</v>
      </c>
      <c r="E44" s="6">
        <f t="shared" si="7"/>
        <v>259.89339978819817</v>
      </c>
      <c r="F44" s="6">
        <v>0</v>
      </c>
      <c r="G44" s="6">
        <f t="shared" si="4"/>
        <v>326.25</v>
      </c>
      <c r="H44" s="6">
        <f t="shared" si="4"/>
        <v>292.5</v>
      </c>
      <c r="I44" s="6">
        <f t="shared" si="4"/>
        <v>258.75</v>
      </c>
      <c r="J44" s="6">
        <v>0</v>
      </c>
      <c r="K44" s="9"/>
      <c r="L44" s="9"/>
      <c r="M44" s="9"/>
      <c r="N44" s="8"/>
      <c r="O44" s="8"/>
      <c r="P44" s="8"/>
    </row>
    <row r="45" spans="1:16">
      <c r="A45" s="6">
        <v>12</v>
      </c>
      <c r="B45" s="6">
        <v>0</v>
      </c>
      <c r="C45" s="7">
        <f t="shared" si="5"/>
        <v>259.10476608453075</v>
      </c>
      <c r="D45" s="6">
        <f t="shared" si="6"/>
        <v>158.2095321690615</v>
      </c>
      <c r="E45" s="6">
        <f t="shared" si="7"/>
        <v>57.314298253592369</v>
      </c>
      <c r="F45" s="6">
        <v>0</v>
      </c>
      <c r="G45" s="6">
        <f t="shared" si="4"/>
        <v>258.75</v>
      </c>
      <c r="H45" s="6">
        <f t="shared" si="4"/>
        <v>157.5</v>
      </c>
      <c r="I45" s="6">
        <f t="shared" si="4"/>
        <v>56.25</v>
      </c>
      <c r="J45" s="6">
        <v>0</v>
      </c>
      <c r="K45" s="10"/>
      <c r="L45" s="11"/>
      <c r="M45" s="9"/>
      <c r="N45" s="8"/>
      <c r="O45" s="8"/>
      <c r="P45" s="8"/>
    </row>
    <row r="46" spans="1:16">
      <c r="A46" s="6">
        <v>13</v>
      </c>
      <c r="B46" s="6">
        <v>0</v>
      </c>
      <c r="C46" s="7">
        <f t="shared" si="5"/>
        <v>191.82845154676988</v>
      </c>
      <c r="D46" s="6">
        <f t="shared" si="6"/>
        <v>23.656903093539768</v>
      </c>
      <c r="E46" s="6">
        <f t="shared" si="7"/>
        <v>215.48535464031011</v>
      </c>
      <c r="F46" s="6">
        <v>0</v>
      </c>
      <c r="G46" s="6">
        <f t="shared" si="4"/>
        <v>191.25</v>
      </c>
      <c r="H46" s="6">
        <f t="shared" si="4"/>
        <v>22.5</v>
      </c>
      <c r="I46" s="6">
        <f t="shared" si="4"/>
        <v>213.75</v>
      </c>
      <c r="J46" s="6">
        <v>0</v>
      </c>
      <c r="K46" s="9"/>
      <c r="L46" s="9"/>
      <c r="M46" s="9"/>
      <c r="N46" s="8"/>
      <c r="O46" s="8"/>
      <c r="P46" s="8"/>
    </row>
    <row r="47" spans="1:16">
      <c r="A47" s="6">
        <v>14</v>
      </c>
      <c r="B47" s="6">
        <v>0</v>
      </c>
      <c r="C47" s="7">
        <f t="shared" si="5"/>
        <v>124.82268266657911</v>
      </c>
      <c r="D47" s="6">
        <f t="shared" si="6"/>
        <v>249.64536533315822</v>
      </c>
      <c r="E47" s="6">
        <f t="shared" si="7"/>
        <v>14.468047999737792</v>
      </c>
      <c r="F47" s="6">
        <v>0</v>
      </c>
      <c r="G47" s="6">
        <f t="shared" si="4"/>
        <v>123.75</v>
      </c>
      <c r="H47" s="6">
        <f t="shared" si="4"/>
        <v>247.5</v>
      </c>
      <c r="I47" s="6">
        <f t="shared" si="4"/>
        <v>16.875</v>
      </c>
      <c r="J47" s="6">
        <v>0</v>
      </c>
      <c r="K47" s="9"/>
      <c r="L47" s="9"/>
      <c r="M47" s="9"/>
      <c r="N47" s="8"/>
      <c r="O47" s="8"/>
      <c r="P47" s="8"/>
    </row>
    <row r="48" spans="1:16">
      <c r="A48" s="6">
        <v>15</v>
      </c>
      <c r="B48" s="6">
        <v>0</v>
      </c>
      <c r="C48" s="7">
        <f t="shared" si="5"/>
        <v>58.107870050258725</v>
      </c>
      <c r="D48" s="6">
        <f t="shared" si="6"/>
        <v>116.21574010051745</v>
      </c>
      <c r="E48" s="6">
        <f t="shared" si="7"/>
        <v>174.32361015077595</v>
      </c>
      <c r="F48" s="6">
        <v>0</v>
      </c>
      <c r="G48" s="6">
        <f t="shared" si="4"/>
        <v>56.25</v>
      </c>
      <c r="H48" s="6">
        <f t="shared" si="4"/>
        <v>118.125</v>
      </c>
      <c r="I48" s="6">
        <f t="shared" si="4"/>
        <v>174.375</v>
      </c>
      <c r="J48" s="6">
        <v>0</v>
      </c>
      <c r="K48" s="9"/>
      <c r="L48" s="9"/>
      <c r="M48" s="9"/>
      <c r="N48" s="8"/>
      <c r="O48" s="8"/>
      <c r="P48" s="8"/>
    </row>
    <row r="49" spans="1:16">
      <c r="A49" s="6">
        <v>16</v>
      </c>
      <c r="B49" s="6">
        <v>0</v>
      </c>
      <c r="C49" s="7">
        <f t="shared" si="5"/>
        <v>351.70433567601208</v>
      </c>
      <c r="D49" s="6">
        <f t="shared" si="6"/>
        <v>343.40867135202416</v>
      </c>
      <c r="E49" s="6">
        <f t="shared" si="7"/>
        <v>335.11300702803601</v>
      </c>
      <c r="F49" s="6">
        <v>0</v>
      </c>
      <c r="G49" s="6">
        <f t="shared" si="4"/>
        <v>354.375</v>
      </c>
      <c r="H49" s="6">
        <f t="shared" si="4"/>
        <v>343.125</v>
      </c>
      <c r="I49" s="6">
        <f t="shared" si="4"/>
        <v>337.5</v>
      </c>
      <c r="J49" s="6">
        <v>0</v>
      </c>
      <c r="K49" s="9"/>
      <c r="L49" s="9"/>
      <c r="M49" s="9"/>
      <c r="N49" s="8"/>
      <c r="O49" s="8"/>
      <c r="P49" s="8"/>
    </row>
    <row r="50" spans="1:16">
      <c r="A50" s="6">
        <v>17</v>
      </c>
      <c r="B50" s="6">
        <v>0</v>
      </c>
      <c r="C50" s="7">
        <f t="shared" si="5"/>
        <v>285.63230670367534</v>
      </c>
      <c r="D50" s="6">
        <f t="shared" si="6"/>
        <v>211.26461340735068</v>
      </c>
      <c r="E50" s="6">
        <f t="shared" si="7"/>
        <v>136.89692011102579</v>
      </c>
      <c r="F50" s="6">
        <v>0</v>
      </c>
      <c r="G50" s="6">
        <f t="shared" si="4"/>
        <v>286.875</v>
      </c>
      <c r="H50" s="6">
        <f t="shared" si="4"/>
        <v>213.75</v>
      </c>
      <c r="I50" s="6">
        <f t="shared" si="4"/>
        <v>135</v>
      </c>
      <c r="J50" s="6">
        <v>0</v>
      </c>
      <c r="K50" s="9"/>
      <c r="L50" s="9"/>
      <c r="M50" s="9"/>
      <c r="N50" s="8"/>
      <c r="O50" s="8"/>
      <c r="P50" s="8"/>
    </row>
    <row r="51" spans="1:16">
      <c r="A51" s="6">
        <v>18</v>
      </c>
      <c r="B51" s="6">
        <v>0</v>
      </c>
      <c r="C51" s="7">
        <f t="shared" si="5"/>
        <v>219.9119093133279</v>
      </c>
      <c r="D51" s="6">
        <f t="shared" si="6"/>
        <v>79.823818626655793</v>
      </c>
      <c r="E51" s="6">
        <f t="shared" si="7"/>
        <v>299.73572793998346</v>
      </c>
      <c r="F51" s="6">
        <v>0</v>
      </c>
      <c r="G51" s="6">
        <f t="shared" si="4"/>
        <v>219.375</v>
      </c>
      <c r="H51" s="6">
        <f t="shared" si="4"/>
        <v>78.75</v>
      </c>
      <c r="I51" s="6">
        <f t="shared" si="4"/>
        <v>298.125</v>
      </c>
      <c r="J51" s="6">
        <v>0</v>
      </c>
      <c r="K51" s="9"/>
      <c r="L51" s="9"/>
      <c r="M51" s="9"/>
      <c r="N51" s="8"/>
      <c r="O51" s="8"/>
      <c r="P51" s="8"/>
    </row>
    <row r="52" spans="1:16">
      <c r="A52" s="6">
        <v>19</v>
      </c>
      <c r="B52" s="6">
        <v>0</v>
      </c>
      <c r="C52" s="7">
        <f t="shared" si="5"/>
        <v>154.56316257466187</v>
      </c>
      <c r="D52" s="6">
        <f t="shared" si="6"/>
        <v>309.12632514932375</v>
      </c>
      <c r="E52" s="6">
        <f t="shared" si="7"/>
        <v>103.68948772398608</v>
      </c>
      <c r="F52" s="6">
        <v>0</v>
      </c>
      <c r="G52" s="6">
        <f t="shared" si="4"/>
        <v>151.875</v>
      </c>
      <c r="H52" s="6">
        <f t="shared" si="4"/>
        <v>309.375</v>
      </c>
      <c r="I52" s="6">
        <f t="shared" si="4"/>
        <v>101.25</v>
      </c>
      <c r="J52" s="6">
        <v>0</v>
      </c>
      <c r="K52" s="9"/>
      <c r="L52" s="9"/>
      <c r="M52" s="9"/>
      <c r="N52" s="8"/>
      <c r="O52" s="8"/>
      <c r="P52" s="8"/>
    </row>
    <row r="53" spans="1:16">
      <c r="A53" s="6">
        <v>20</v>
      </c>
      <c r="B53" s="6">
        <v>0</v>
      </c>
      <c r="C53" s="7">
        <f t="shared" si="5"/>
        <v>89.605972348982277</v>
      </c>
      <c r="D53" s="6">
        <f t="shared" si="6"/>
        <v>179.21194469796455</v>
      </c>
      <c r="E53" s="6">
        <f t="shared" si="7"/>
        <v>268.8179170469466</v>
      </c>
      <c r="F53" s="6">
        <v>0</v>
      </c>
      <c r="G53" s="6">
        <f t="shared" si="4"/>
        <v>90</v>
      </c>
      <c r="H53" s="6">
        <f t="shared" si="4"/>
        <v>180</v>
      </c>
      <c r="I53" s="6">
        <f t="shared" si="4"/>
        <v>270</v>
      </c>
      <c r="J53" s="6">
        <v>0</v>
      </c>
      <c r="K53" s="9"/>
      <c r="L53" s="9"/>
      <c r="M53" s="9"/>
      <c r="N53" s="8"/>
      <c r="O53" s="8"/>
      <c r="P53" s="8"/>
    </row>
    <row r="54" spans="1:16">
      <c r="A54" s="6">
        <v>21</v>
      </c>
      <c r="B54" s="6">
        <v>0</v>
      </c>
      <c r="C54" s="7">
        <f t="shared" si="5"/>
        <v>25.060125225685624</v>
      </c>
      <c r="D54" s="6">
        <f t="shared" si="6"/>
        <v>50.120250451371248</v>
      </c>
      <c r="E54" s="6">
        <f t="shared" si="7"/>
        <v>75.180375677056873</v>
      </c>
      <c r="F54" s="6">
        <v>0</v>
      </c>
      <c r="G54" s="6">
        <f t="shared" si="4"/>
        <v>22.5</v>
      </c>
      <c r="H54" s="6">
        <f t="shared" si="4"/>
        <v>50.625</v>
      </c>
      <c r="I54" s="6">
        <f t="shared" si="4"/>
        <v>73.125</v>
      </c>
      <c r="J54" s="6">
        <v>0</v>
      </c>
      <c r="K54" s="9"/>
      <c r="L54" s="9"/>
      <c r="M54" s="9"/>
      <c r="N54" s="8"/>
      <c r="O54" s="8"/>
      <c r="P54" s="8"/>
    </row>
    <row r="55" spans="1:16">
      <c r="A55" s="6">
        <v>22</v>
      </c>
      <c r="B55" s="6">
        <v>0</v>
      </c>
      <c r="C55" s="7">
        <f t="shared" si="5"/>
        <v>320.94528249507584</v>
      </c>
      <c r="D55" s="6">
        <f t="shared" si="6"/>
        <v>281.89056499015169</v>
      </c>
      <c r="E55" s="6">
        <f t="shared" si="7"/>
        <v>242.83584748522662</v>
      </c>
      <c r="F55" s="6">
        <v>0</v>
      </c>
      <c r="G55" s="6">
        <f t="shared" si="4"/>
        <v>320.625</v>
      </c>
      <c r="H55" s="6">
        <f t="shared" si="4"/>
        <v>281.25</v>
      </c>
      <c r="I55" s="6">
        <f t="shared" si="4"/>
        <v>241.875</v>
      </c>
      <c r="J55" s="6">
        <v>0</v>
      </c>
      <c r="K55" s="9"/>
      <c r="L55" s="9"/>
      <c r="M55" s="9"/>
      <c r="N55" s="8"/>
      <c r="O55" s="8"/>
      <c r="P55" s="8"/>
    </row>
    <row r="56" spans="1:16">
      <c r="A56" s="6">
        <v>23</v>
      </c>
      <c r="B56" s="6">
        <v>0</v>
      </c>
      <c r="C56" s="7">
        <f t="shared" si="5"/>
        <v>257.28097415934258</v>
      </c>
      <c r="D56" s="6">
        <f t="shared" si="6"/>
        <v>154.56194831868515</v>
      </c>
      <c r="E56" s="6">
        <f t="shared" si="7"/>
        <v>51.842922478027504</v>
      </c>
      <c r="F56" s="6">
        <v>0</v>
      </c>
      <c r="G56" s="6">
        <f t="shared" si="4"/>
        <v>258.75</v>
      </c>
      <c r="H56" s="6">
        <f t="shared" si="4"/>
        <v>151.875</v>
      </c>
      <c r="I56" s="6">
        <f t="shared" si="4"/>
        <v>50.625</v>
      </c>
      <c r="J56" s="6">
        <v>0</v>
      </c>
      <c r="K56" s="9"/>
      <c r="L56" s="9"/>
      <c r="M56" s="9"/>
      <c r="N56" s="8"/>
      <c r="O56" s="8"/>
      <c r="P56" s="8"/>
    </row>
    <row r="57" spans="1:16">
      <c r="A57" s="6">
        <v>24</v>
      </c>
      <c r="B57" s="6">
        <v>0</v>
      </c>
      <c r="C57" s="7">
        <f t="shared" si="5"/>
        <v>194.08659298353541</v>
      </c>
      <c r="D57" s="6">
        <f t="shared" si="6"/>
        <v>28.173185967070822</v>
      </c>
      <c r="E57" s="6">
        <f t="shared" si="7"/>
        <v>222.25977895060532</v>
      </c>
      <c r="F57" s="6">
        <v>0</v>
      </c>
      <c r="G57" s="6">
        <f t="shared" si="4"/>
        <v>196.875</v>
      </c>
      <c r="H57" s="6">
        <f t="shared" si="4"/>
        <v>28.125</v>
      </c>
      <c r="I57" s="6">
        <f t="shared" si="4"/>
        <v>225</v>
      </c>
      <c r="J57" s="6">
        <v>0</v>
      </c>
      <c r="K57" s="9"/>
      <c r="L57" s="9"/>
      <c r="M57" s="9"/>
      <c r="N57" s="8"/>
      <c r="O57" s="8"/>
      <c r="P57" s="8"/>
    </row>
    <row r="58" spans="1:16">
      <c r="A58" s="6">
        <v>25</v>
      </c>
      <c r="B58" s="6">
        <v>0</v>
      </c>
      <c r="C58" s="7">
        <f t="shared" si="5"/>
        <v>131.38138858833736</v>
      </c>
      <c r="D58" s="6">
        <f t="shared" si="6"/>
        <v>262.76277717667472</v>
      </c>
      <c r="E58" s="6">
        <f t="shared" si="7"/>
        <v>34.144165765012076</v>
      </c>
      <c r="F58" s="6">
        <v>0</v>
      </c>
      <c r="G58" s="6">
        <f t="shared" si="4"/>
        <v>129.375</v>
      </c>
      <c r="H58" s="6">
        <f t="shared" si="4"/>
        <v>264.375</v>
      </c>
      <c r="I58" s="6">
        <f t="shared" si="4"/>
        <v>33.75</v>
      </c>
      <c r="J58" s="6">
        <v>0</v>
      </c>
      <c r="K58" s="9"/>
      <c r="L58" s="9"/>
      <c r="M58" s="9"/>
      <c r="N58" s="8"/>
      <c r="O58" s="8"/>
      <c r="P58" s="8"/>
    </row>
    <row r="59" spans="1:16">
      <c r="A59" s="6">
        <v>26</v>
      </c>
      <c r="B59" s="6">
        <v>0</v>
      </c>
      <c r="C59" s="7">
        <f t="shared" si="5"/>
        <v>69.184461586447242</v>
      </c>
      <c r="D59" s="6">
        <f t="shared" si="6"/>
        <v>138.36892317289448</v>
      </c>
      <c r="E59" s="6">
        <f t="shared" si="7"/>
        <v>207.5533847593415</v>
      </c>
      <c r="F59" s="6">
        <v>0</v>
      </c>
      <c r="G59" s="6">
        <f t="shared" si="4"/>
        <v>67.5</v>
      </c>
      <c r="H59" s="6">
        <f t="shared" si="4"/>
        <v>140.625</v>
      </c>
      <c r="I59" s="6">
        <f t="shared" si="4"/>
        <v>208.125</v>
      </c>
      <c r="J59" s="6">
        <v>0</v>
      </c>
      <c r="K59" s="9"/>
      <c r="L59" s="9"/>
      <c r="M59" s="9"/>
      <c r="N59" s="8"/>
      <c r="O59" s="8"/>
      <c r="P59" s="8"/>
    </row>
    <row r="60" spans="1:16">
      <c r="A60" s="6">
        <v>27</v>
      </c>
      <c r="B60" s="6">
        <v>0</v>
      </c>
      <c r="C60" s="7">
        <f t="shared" si="5"/>
        <v>7.5147577643444947</v>
      </c>
      <c r="D60" s="6">
        <f t="shared" si="6"/>
        <v>15.029515528688989</v>
      </c>
      <c r="E60" s="6">
        <f t="shared" si="7"/>
        <v>22.544273293034166</v>
      </c>
      <c r="F60" s="6">
        <v>0</v>
      </c>
      <c r="G60" s="6">
        <f t="shared" si="4"/>
        <v>5.625</v>
      </c>
      <c r="H60" s="6">
        <f t="shared" si="4"/>
        <v>16.875</v>
      </c>
      <c r="I60" s="6">
        <f t="shared" si="4"/>
        <v>22.5</v>
      </c>
      <c r="J60" s="6">
        <v>0</v>
      </c>
      <c r="K60" s="9"/>
      <c r="L60" s="9"/>
      <c r="M60" s="9"/>
      <c r="N60" s="8"/>
      <c r="O60" s="8"/>
      <c r="P60" s="8"/>
    </row>
    <row r="61" spans="1:16">
      <c r="A61" s="6">
        <v>28</v>
      </c>
      <c r="B61" s="6">
        <v>0</v>
      </c>
      <c r="C61" s="7">
        <f t="shared" si="5"/>
        <v>306.39106231122082</v>
      </c>
      <c r="D61" s="6">
        <f t="shared" si="6"/>
        <v>252.78212462244164</v>
      </c>
      <c r="E61" s="6">
        <f t="shared" si="7"/>
        <v>199.17318693366269</v>
      </c>
      <c r="F61" s="6">
        <v>0</v>
      </c>
      <c r="G61" s="6">
        <f t="shared" si="4"/>
        <v>303.75</v>
      </c>
      <c r="H61" s="6">
        <f t="shared" si="4"/>
        <v>253.125</v>
      </c>
      <c r="I61" s="6">
        <f t="shared" si="4"/>
        <v>196.875</v>
      </c>
      <c r="J61" s="6">
        <v>0</v>
      </c>
      <c r="K61" s="9"/>
      <c r="L61" s="9"/>
      <c r="M61" s="9"/>
      <c r="N61" s="8"/>
      <c r="O61" s="8"/>
      <c r="P61" s="8"/>
    </row>
    <row r="62" spans="1:16">
      <c r="A62" s="6">
        <v>29</v>
      </c>
      <c r="B62" s="6">
        <v>0</v>
      </c>
      <c r="C62" s="7">
        <f t="shared" si="5"/>
        <v>245.83199409683039</v>
      </c>
      <c r="D62" s="6">
        <f t="shared" si="6"/>
        <v>131.66398819366077</v>
      </c>
      <c r="E62" s="6">
        <f t="shared" si="7"/>
        <v>17.495982290492066</v>
      </c>
      <c r="F62" s="6">
        <v>0</v>
      </c>
      <c r="G62" s="6">
        <f t="shared" si="4"/>
        <v>247.5</v>
      </c>
      <c r="H62" s="6">
        <f t="shared" si="4"/>
        <v>129.375</v>
      </c>
      <c r="I62" s="6">
        <f t="shared" si="4"/>
        <v>16.875</v>
      </c>
      <c r="J62" s="6">
        <v>0</v>
      </c>
      <c r="K62" s="9"/>
      <c r="L62" s="9"/>
      <c r="M62" s="9"/>
      <c r="N62" s="8"/>
      <c r="O62" s="8"/>
      <c r="P62" s="8"/>
    </row>
    <row r="63" spans="1:16">
      <c r="A63" s="6">
        <v>30</v>
      </c>
      <c r="B63" s="6">
        <v>0</v>
      </c>
      <c r="C63" s="7">
        <f t="shared" si="5"/>
        <v>185.85600000000045</v>
      </c>
      <c r="D63" s="6">
        <f t="shared" si="6"/>
        <v>11.712000000000899</v>
      </c>
      <c r="E63" s="6">
        <f t="shared" si="7"/>
        <v>197.56800000000112</v>
      </c>
      <c r="F63" s="6">
        <v>0</v>
      </c>
      <c r="G63" s="6">
        <f t="shared" si="4"/>
        <v>185.625</v>
      </c>
      <c r="H63" s="6">
        <f t="shared" si="4"/>
        <v>11.25</v>
      </c>
      <c r="I63" s="6">
        <f t="shared" si="4"/>
        <v>196.875</v>
      </c>
      <c r="J63" s="6">
        <v>0</v>
      </c>
      <c r="K63" s="9">
        <v>186</v>
      </c>
      <c r="L63" s="9">
        <v>11.5</v>
      </c>
      <c r="M63" s="9">
        <v>196.8</v>
      </c>
      <c r="N63" s="8"/>
      <c r="O63" s="8"/>
      <c r="P63" s="8"/>
    </row>
    <row r="64" spans="1:1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1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</row>
  </sheetData>
  <mergeCells count="3">
    <mergeCell ref="C1:E1"/>
    <mergeCell ref="K1:M1"/>
    <mergeCell ref="G1:I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F5C7-0C63-4F58-9155-B62E0BA0F8D1}">
  <dimension ref="A1:M63"/>
  <sheetViews>
    <sheetView workbookViewId="0">
      <pane ySplit="2" topLeftCell="A3" activePane="bottomLeft" state="frozen"/>
      <selection pane="bottomLeft" activeCell="N20" sqref="N20"/>
    </sheetView>
  </sheetViews>
  <sheetFormatPr defaultRowHeight="14"/>
  <cols>
    <col min="1" max="1" width="10" customWidth="1"/>
    <col min="2" max="2" width="6.7265625" customWidth="1"/>
    <col min="3" max="3" width="8.08984375" customWidth="1"/>
    <col min="4" max="4" width="10.1796875" customWidth="1"/>
    <col min="5" max="5" width="9.6328125" customWidth="1"/>
    <col min="6" max="6" width="6.6328125" customWidth="1"/>
    <col min="7" max="7" width="6.36328125" customWidth="1"/>
    <col min="8" max="8" width="6" customWidth="1"/>
    <col min="9" max="9" width="7.90625" customWidth="1"/>
    <col min="10" max="10" width="8.36328125" customWidth="1"/>
    <col min="13" max="13" width="9.7265625" customWidth="1"/>
  </cols>
  <sheetData>
    <row r="1" spans="1:13" ht="15.5">
      <c r="A1" s="5" t="s">
        <v>5</v>
      </c>
      <c r="B1" s="5">
        <v>215</v>
      </c>
      <c r="C1" s="12" t="s">
        <v>6</v>
      </c>
      <c r="D1" s="12"/>
      <c r="E1" s="12"/>
      <c r="F1" s="1"/>
      <c r="G1" s="12" t="s">
        <v>7</v>
      </c>
      <c r="H1" s="12"/>
      <c r="I1" s="12"/>
      <c r="K1" s="12" t="s">
        <v>12</v>
      </c>
      <c r="L1" s="12"/>
      <c r="M1" s="12"/>
    </row>
    <row r="2" spans="1:13" ht="15.5">
      <c r="A2" s="5" t="s">
        <v>4</v>
      </c>
      <c r="B2" s="4" t="s">
        <v>13</v>
      </c>
      <c r="C2" s="4" t="s">
        <v>14</v>
      </c>
      <c r="D2" s="4" t="s">
        <v>15</v>
      </c>
      <c r="E2" s="4" t="s">
        <v>16</v>
      </c>
      <c r="F2" s="2" t="s">
        <v>8</v>
      </c>
      <c r="G2" s="4" t="s">
        <v>9</v>
      </c>
      <c r="H2" s="4" t="s">
        <v>10</v>
      </c>
      <c r="I2" s="4" t="s">
        <v>11</v>
      </c>
      <c r="J2" s="2" t="s">
        <v>0</v>
      </c>
      <c r="K2" s="4" t="s">
        <v>1</v>
      </c>
      <c r="L2" s="4" t="s">
        <v>2</v>
      </c>
      <c r="M2" s="4" t="s">
        <v>3</v>
      </c>
    </row>
    <row r="3" spans="1:13">
      <c r="A3" s="6">
        <v>-30</v>
      </c>
      <c r="B3" s="6">
        <v>0</v>
      </c>
      <c r="C3" s="7">
        <f t="shared" ref="C3:C34" si="0">MOD(-180*Freq*15.52*2*SIN(A3*PI()/180)/300,360)</f>
        <v>202.0799999999997</v>
      </c>
      <c r="D3" s="6">
        <f t="shared" ref="D3:D34" si="1">MOD(-180*Freq*2*15.52*2*SIN(A3*PI()/180)/300,360)</f>
        <v>44.1599999999994</v>
      </c>
      <c r="E3" s="6">
        <f t="shared" ref="E3:E34" si="2">MOD(-180*Freq*3*15.52*2*SIN(A3*PI()/180)/300,360)</f>
        <v>246.23999999999887</v>
      </c>
      <c r="F3" s="6">
        <v>0</v>
      </c>
      <c r="G3" s="6">
        <f>MOD(ROUND(C3/5.625,0)*5.625,360)</f>
        <v>202.5</v>
      </c>
      <c r="H3" s="6">
        <f t="shared" ref="H3:I18" si="3">MOD(ROUND(D3/5.625,0)*5.625,360)</f>
        <v>45</v>
      </c>
      <c r="I3" s="6">
        <f t="shared" si="3"/>
        <v>247.5</v>
      </c>
      <c r="J3" s="6">
        <v>0</v>
      </c>
      <c r="K3" s="9">
        <v>202</v>
      </c>
      <c r="L3" s="9">
        <v>44</v>
      </c>
      <c r="M3" s="9">
        <v>246</v>
      </c>
    </row>
    <row r="4" spans="1:13">
      <c r="A4" s="6">
        <v>-29</v>
      </c>
      <c r="B4" s="6">
        <v>0</v>
      </c>
      <c r="C4" s="7">
        <f t="shared" si="0"/>
        <v>141.2552890055731</v>
      </c>
      <c r="D4" s="6">
        <f t="shared" si="1"/>
        <v>282.51057801114621</v>
      </c>
      <c r="E4" s="6">
        <f t="shared" si="2"/>
        <v>63.765867016719312</v>
      </c>
      <c r="F4" s="6">
        <v>0</v>
      </c>
      <c r="G4" s="6">
        <f t="shared" ref="G4:I63" si="4">MOD(ROUND(C4/5.625,0)*5.625,360)</f>
        <v>140.625</v>
      </c>
      <c r="H4" s="6">
        <f t="shared" si="3"/>
        <v>281.25</v>
      </c>
      <c r="I4" s="6">
        <f t="shared" si="3"/>
        <v>61.875</v>
      </c>
      <c r="J4" s="6">
        <v>0</v>
      </c>
      <c r="K4" s="9"/>
      <c r="L4" s="9"/>
      <c r="M4" s="9"/>
    </row>
    <row r="5" spans="1:13">
      <c r="A5" s="6">
        <v>-28</v>
      </c>
      <c r="B5" s="6">
        <v>0</v>
      </c>
      <c r="C5" s="7">
        <f t="shared" si="0"/>
        <v>79.839252844752536</v>
      </c>
      <c r="D5" s="6">
        <f t="shared" si="1"/>
        <v>159.67850568950507</v>
      </c>
      <c r="E5" s="6">
        <f t="shared" si="2"/>
        <v>239.51775853425715</v>
      </c>
      <c r="F5" s="6">
        <v>0</v>
      </c>
      <c r="G5" s="6">
        <f t="shared" si="4"/>
        <v>78.75</v>
      </c>
      <c r="H5" s="6">
        <f t="shared" si="3"/>
        <v>157.5</v>
      </c>
      <c r="I5" s="6">
        <f t="shared" si="3"/>
        <v>241.875</v>
      </c>
      <c r="J5" s="6">
        <v>0</v>
      </c>
      <c r="K5" s="9"/>
      <c r="L5" s="9"/>
      <c r="M5" s="9"/>
    </row>
    <row r="6" spans="1:13">
      <c r="A6" s="6">
        <v>-27</v>
      </c>
      <c r="B6" s="6">
        <v>0</v>
      </c>
      <c r="C6" s="7">
        <f t="shared" si="0"/>
        <v>17.850599437103483</v>
      </c>
      <c r="D6" s="6">
        <f t="shared" si="1"/>
        <v>35.701198874206966</v>
      </c>
      <c r="E6" s="6">
        <f t="shared" si="2"/>
        <v>53.551798311310449</v>
      </c>
      <c r="F6" s="6">
        <v>0</v>
      </c>
      <c r="G6" s="6">
        <f t="shared" si="4"/>
        <v>16.875</v>
      </c>
      <c r="H6" s="6">
        <f t="shared" si="3"/>
        <v>33.75</v>
      </c>
      <c r="I6" s="6">
        <f t="shared" si="3"/>
        <v>56.25</v>
      </c>
      <c r="J6" s="6">
        <v>0</v>
      </c>
      <c r="K6" s="9"/>
      <c r="L6" s="9"/>
      <c r="M6" s="9"/>
    </row>
    <row r="7" spans="1:13">
      <c r="A7" s="6">
        <v>-26</v>
      </c>
      <c r="B7" s="6">
        <v>0</v>
      </c>
      <c r="C7" s="7">
        <f t="shared" si="0"/>
        <v>315.3082111269523</v>
      </c>
      <c r="D7" s="6">
        <f t="shared" si="1"/>
        <v>270.6164222539046</v>
      </c>
      <c r="E7" s="6">
        <f t="shared" si="2"/>
        <v>225.9246333808569</v>
      </c>
      <c r="F7" s="6">
        <v>0</v>
      </c>
      <c r="G7" s="6">
        <f t="shared" si="4"/>
        <v>315</v>
      </c>
      <c r="H7" s="6">
        <f t="shared" si="3"/>
        <v>270</v>
      </c>
      <c r="I7" s="6">
        <f t="shared" si="3"/>
        <v>225</v>
      </c>
      <c r="J7" s="6">
        <v>0</v>
      </c>
      <c r="K7" s="9"/>
      <c r="L7" s="9"/>
      <c r="M7" s="9"/>
    </row>
    <row r="8" spans="1:13">
      <c r="A8" s="6">
        <v>-25</v>
      </c>
      <c r="B8" s="6">
        <v>0</v>
      </c>
      <c r="C8" s="7">
        <f t="shared" si="0"/>
        <v>252.23113893163918</v>
      </c>
      <c r="D8" s="6">
        <f t="shared" si="1"/>
        <v>144.46227786327836</v>
      </c>
      <c r="E8" s="6">
        <f t="shared" si="2"/>
        <v>36.693416794917539</v>
      </c>
      <c r="F8" s="6">
        <v>0</v>
      </c>
      <c r="G8" s="6">
        <f t="shared" si="4"/>
        <v>253.125</v>
      </c>
      <c r="H8" s="6">
        <f t="shared" si="3"/>
        <v>146.25</v>
      </c>
      <c r="I8" s="6">
        <f t="shared" si="3"/>
        <v>39.375</v>
      </c>
      <c r="J8" s="6">
        <v>0</v>
      </c>
      <c r="K8" s="10"/>
      <c r="L8" s="11"/>
      <c r="M8" s="9"/>
    </row>
    <row r="9" spans="1:13">
      <c r="A9" s="6">
        <v>-24</v>
      </c>
      <c r="B9" s="6">
        <v>0</v>
      </c>
      <c r="C9" s="7">
        <f t="shared" si="0"/>
        <v>188.63859673839579</v>
      </c>
      <c r="D9" s="6">
        <f t="shared" si="1"/>
        <v>17.277193476791581</v>
      </c>
      <c r="E9" s="6">
        <f t="shared" si="2"/>
        <v>205.91579021518828</v>
      </c>
      <c r="F9" s="6">
        <v>0</v>
      </c>
      <c r="G9" s="6">
        <f t="shared" si="4"/>
        <v>191.25</v>
      </c>
      <c r="H9" s="6">
        <f t="shared" si="3"/>
        <v>16.875</v>
      </c>
      <c r="I9" s="6">
        <f t="shared" si="3"/>
        <v>208.125</v>
      </c>
      <c r="J9" s="6">
        <v>0</v>
      </c>
      <c r="K9" s="9"/>
      <c r="L9" s="9"/>
      <c r="M9" s="9"/>
    </row>
    <row r="10" spans="1:13">
      <c r="A10" s="6">
        <v>-23</v>
      </c>
      <c r="B10" s="6">
        <v>0</v>
      </c>
      <c r="C10" s="7">
        <f t="shared" si="0"/>
        <v>124.54995545161023</v>
      </c>
      <c r="D10" s="6">
        <f t="shared" si="1"/>
        <v>249.09991090322046</v>
      </c>
      <c r="E10" s="6">
        <f t="shared" si="2"/>
        <v>13.64986635483092</v>
      </c>
      <c r="F10" s="6">
        <v>0</v>
      </c>
      <c r="G10" s="6">
        <f t="shared" si="4"/>
        <v>123.75</v>
      </c>
      <c r="H10" s="6">
        <f t="shared" si="3"/>
        <v>247.5</v>
      </c>
      <c r="I10" s="6">
        <f t="shared" si="3"/>
        <v>11.25</v>
      </c>
      <c r="J10" s="6">
        <v>0</v>
      </c>
      <c r="K10" s="9"/>
      <c r="L10" s="9"/>
      <c r="M10" s="9"/>
    </row>
    <row r="11" spans="1:13">
      <c r="A11" s="6">
        <v>-22</v>
      </c>
      <c r="B11" s="6">
        <v>0</v>
      </c>
      <c r="C11" s="7">
        <f t="shared" si="0"/>
        <v>59.984737092258229</v>
      </c>
      <c r="D11" s="6">
        <f t="shared" si="1"/>
        <v>119.96947418451646</v>
      </c>
      <c r="E11" s="6">
        <f t="shared" si="2"/>
        <v>179.95421127677491</v>
      </c>
      <c r="F11" s="6">
        <v>0</v>
      </c>
      <c r="G11" s="6">
        <f t="shared" si="4"/>
        <v>61.875</v>
      </c>
      <c r="H11" s="6">
        <f t="shared" si="3"/>
        <v>118.125</v>
      </c>
      <c r="I11" s="6">
        <f t="shared" si="3"/>
        <v>180</v>
      </c>
      <c r="J11" s="6">
        <v>0</v>
      </c>
      <c r="K11" s="9"/>
      <c r="L11" s="9"/>
      <c r="M11" s="9"/>
    </row>
    <row r="12" spans="1:13">
      <c r="A12" s="6">
        <v>-21</v>
      </c>
      <c r="B12" s="6">
        <v>0</v>
      </c>
      <c r="C12" s="7">
        <f t="shared" si="0"/>
        <v>354.96260885130937</v>
      </c>
      <c r="D12" s="6">
        <f t="shared" si="1"/>
        <v>349.92521770261874</v>
      </c>
      <c r="E12" s="6">
        <f t="shared" si="2"/>
        <v>344.88782655392879</v>
      </c>
      <c r="F12" s="6">
        <v>0</v>
      </c>
      <c r="G12" s="6">
        <f t="shared" si="4"/>
        <v>354.375</v>
      </c>
      <c r="H12" s="6">
        <f t="shared" si="3"/>
        <v>348.75</v>
      </c>
      <c r="I12" s="6">
        <f t="shared" si="3"/>
        <v>343.125</v>
      </c>
      <c r="J12" s="6">
        <v>0</v>
      </c>
      <c r="K12" s="9"/>
      <c r="L12" s="9"/>
      <c r="M12" s="9"/>
    </row>
    <row r="13" spans="1:13">
      <c r="A13" s="6">
        <v>-20</v>
      </c>
      <c r="B13" s="6">
        <v>0</v>
      </c>
      <c r="C13" s="7">
        <f t="shared" si="0"/>
        <v>289.5033770989096</v>
      </c>
      <c r="D13" s="6">
        <f t="shared" si="1"/>
        <v>219.00675419781919</v>
      </c>
      <c r="E13" s="6">
        <f t="shared" si="2"/>
        <v>148.51013129672901</v>
      </c>
      <c r="F13" s="6">
        <v>0</v>
      </c>
      <c r="G13" s="6">
        <f t="shared" si="4"/>
        <v>286.875</v>
      </c>
      <c r="H13" s="6">
        <f t="shared" si="3"/>
        <v>219.375</v>
      </c>
      <c r="I13" s="6">
        <f t="shared" si="3"/>
        <v>146.25</v>
      </c>
      <c r="J13" s="6">
        <v>0</v>
      </c>
      <c r="K13" s="9"/>
      <c r="L13" s="9"/>
      <c r="M13" s="9"/>
    </row>
    <row r="14" spans="1:13">
      <c r="A14" s="6">
        <v>-19</v>
      </c>
      <c r="B14" s="6">
        <v>0</v>
      </c>
      <c r="C14" s="7">
        <f t="shared" si="0"/>
        <v>223.6269813511683</v>
      </c>
      <c r="D14" s="6">
        <f t="shared" si="1"/>
        <v>87.253962702336594</v>
      </c>
      <c r="E14" s="6">
        <f t="shared" si="2"/>
        <v>310.88094405350512</v>
      </c>
      <c r="F14" s="6">
        <v>0</v>
      </c>
      <c r="G14" s="6">
        <f t="shared" si="4"/>
        <v>225</v>
      </c>
      <c r="H14" s="6">
        <f t="shared" si="3"/>
        <v>90</v>
      </c>
      <c r="I14" s="6">
        <f t="shared" si="3"/>
        <v>309.375</v>
      </c>
      <c r="J14" s="6">
        <v>0</v>
      </c>
      <c r="K14" s="10"/>
      <c r="L14" s="11"/>
      <c r="M14" s="9"/>
    </row>
    <row r="15" spans="1:13">
      <c r="A15" s="6">
        <v>-18</v>
      </c>
      <c r="B15" s="6">
        <v>0</v>
      </c>
      <c r="C15" s="7">
        <f t="shared" si="0"/>
        <v>157.35348819638943</v>
      </c>
      <c r="D15" s="6">
        <f t="shared" si="1"/>
        <v>314.70697639277887</v>
      </c>
      <c r="E15" s="6">
        <f t="shared" si="2"/>
        <v>112.06046458916808</v>
      </c>
      <c r="F15" s="6">
        <v>0</v>
      </c>
      <c r="G15" s="6">
        <f t="shared" si="4"/>
        <v>157.5</v>
      </c>
      <c r="H15" s="6">
        <f t="shared" si="3"/>
        <v>315</v>
      </c>
      <c r="I15" s="6">
        <f t="shared" si="3"/>
        <v>112.5</v>
      </c>
      <c r="J15" s="6">
        <v>0</v>
      </c>
      <c r="K15" s="9"/>
      <c r="L15" s="9"/>
      <c r="M15" s="9"/>
    </row>
    <row r="16" spans="1:13">
      <c r="A16" s="6">
        <v>-17</v>
      </c>
      <c r="B16" s="6">
        <v>0</v>
      </c>
      <c r="C16" s="7">
        <f t="shared" si="0"/>
        <v>90.703085182593668</v>
      </c>
      <c r="D16" s="6">
        <f t="shared" si="1"/>
        <v>181.40617036518734</v>
      </c>
      <c r="E16" s="6">
        <f t="shared" si="2"/>
        <v>272.10925554778123</v>
      </c>
      <c r="F16" s="6">
        <v>0</v>
      </c>
      <c r="G16" s="6">
        <f t="shared" si="4"/>
        <v>90</v>
      </c>
      <c r="H16" s="6">
        <f t="shared" si="3"/>
        <v>180</v>
      </c>
      <c r="I16" s="6">
        <f t="shared" si="3"/>
        <v>270</v>
      </c>
      <c r="J16" s="6">
        <v>0</v>
      </c>
      <c r="K16" s="9"/>
      <c r="L16" s="9"/>
      <c r="M16" s="9"/>
    </row>
    <row r="17" spans="1:13">
      <c r="A17" s="6">
        <v>-16</v>
      </c>
      <c r="B17" s="6">
        <v>0</v>
      </c>
      <c r="C17" s="7">
        <f t="shared" si="0"/>
        <v>23.696074668195479</v>
      </c>
      <c r="D17" s="6">
        <f t="shared" si="1"/>
        <v>47.392149336390958</v>
      </c>
      <c r="E17" s="6">
        <f t="shared" si="2"/>
        <v>71.088224004586209</v>
      </c>
      <c r="F17" s="6">
        <v>0</v>
      </c>
      <c r="G17" s="6">
        <f t="shared" si="4"/>
        <v>22.5</v>
      </c>
      <c r="H17" s="6">
        <f t="shared" si="3"/>
        <v>45</v>
      </c>
      <c r="I17" s="6">
        <f t="shared" si="3"/>
        <v>73.125</v>
      </c>
      <c r="J17" s="6">
        <v>0</v>
      </c>
      <c r="K17" s="9"/>
      <c r="L17" s="9"/>
      <c r="M17" s="9"/>
    </row>
    <row r="18" spans="1:13">
      <c r="A18" s="6">
        <v>-15</v>
      </c>
      <c r="B18" s="6">
        <v>0</v>
      </c>
      <c r="C18" s="7">
        <f t="shared" si="0"/>
        <v>316.35286763770955</v>
      </c>
      <c r="D18" s="6">
        <f t="shared" si="1"/>
        <v>272.7057352754191</v>
      </c>
      <c r="E18" s="6">
        <f t="shared" si="2"/>
        <v>229.0586029131282</v>
      </c>
      <c r="F18" s="6">
        <v>0</v>
      </c>
      <c r="G18" s="6">
        <f t="shared" si="4"/>
        <v>315</v>
      </c>
      <c r="H18" s="6">
        <f t="shared" si="3"/>
        <v>270</v>
      </c>
      <c r="I18" s="6">
        <f t="shared" si="3"/>
        <v>230.625</v>
      </c>
      <c r="J18" s="6">
        <v>0</v>
      </c>
      <c r="K18" s="9"/>
      <c r="L18" s="9"/>
      <c r="M18" s="9"/>
    </row>
    <row r="19" spans="1:13">
      <c r="A19" s="6">
        <v>-14</v>
      </c>
      <c r="B19" s="6">
        <v>0</v>
      </c>
      <c r="C19" s="7">
        <f t="shared" si="0"/>
        <v>248.6939774843654</v>
      </c>
      <c r="D19" s="6">
        <f t="shared" si="1"/>
        <v>137.38795496873081</v>
      </c>
      <c r="E19" s="6">
        <f t="shared" si="2"/>
        <v>26.08193245309667</v>
      </c>
      <c r="F19" s="6">
        <v>0</v>
      </c>
      <c r="G19" s="6">
        <f t="shared" si="4"/>
        <v>247.5</v>
      </c>
      <c r="H19" s="6">
        <f t="shared" si="4"/>
        <v>135</v>
      </c>
      <c r="I19" s="6">
        <f t="shared" si="4"/>
        <v>28.125</v>
      </c>
      <c r="J19" s="6">
        <v>0</v>
      </c>
      <c r="K19" s="9"/>
      <c r="L19" s="9"/>
      <c r="M19" s="9"/>
    </row>
    <row r="20" spans="1:13">
      <c r="A20" s="6">
        <v>-13</v>
      </c>
      <c r="B20" s="6">
        <v>0</v>
      </c>
      <c r="C20" s="7">
        <f t="shared" si="0"/>
        <v>180.74001376153046</v>
      </c>
      <c r="D20" s="6">
        <f t="shared" si="1"/>
        <v>1.4800275230609259</v>
      </c>
      <c r="E20" s="6">
        <f t="shared" si="2"/>
        <v>182.22004128459139</v>
      </c>
      <c r="F20" s="6">
        <v>0</v>
      </c>
      <c r="G20" s="6">
        <f t="shared" si="4"/>
        <v>180</v>
      </c>
      <c r="H20" s="6">
        <f t="shared" si="4"/>
        <v>0</v>
      </c>
      <c r="I20" s="6">
        <f t="shared" si="4"/>
        <v>180</v>
      </c>
      <c r="J20" s="6">
        <v>0</v>
      </c>
      <c r="K20" s="9"/>
      <c r="L20" s="9"/>
      <c r="M20" s="9"/>
    </row>
    <row r="21" spans="1:13">
      <c r="A21" s="6">
        <v>-12</v>
      </c>
      <c r="B21" s="6">
        <v>0</v>
      </c>
      <c r="C21" s="7">
        <f t="shared" si="0"/>
        <v>112.51167590483919</v>
      </c>
      <c r="D21" s="6">
        <f t="shared" si="1"/>
        <v>225.02335180967839</v>
      </c>
      <c r="E21" s="6">
        <f t="shared" si="2"/>
        <v>337.53502771451758</v>
      </c>
      <c r="F21" s="6">
        <v>0</v>
      </c>
      <c r="G21" s="6">
        <f t="shared" si="4"/>
        <v>112.5</v>
      </c>
      <c r="H21" s="6">
        <f t="shared" si="4"/>
        <v>225</v>
      </c>
      <c r="I21" s="6">
        <f t="shared" si="4"/>
        <v>337.5</v>
      </c>
      <c r="J21" s="6">
        <v>0</v>
      </c>
      <c r="K21" s="9"/>
      <c r="L21" s="9"/>
      <c r="M21" s="9"/>
    </row>
    <row r="22" spans="1:13">
      <c r="A22" s="6">
        <v>-11</v>
      </c>
      <c r="B22" s="6">
        <v>0</v>
      </c>
      <c r="C22" s="7">
        <f t="shared" si="0"/>
        <v>44.029746926945563</v>
      </c>
      <c r="D22" s="6">
        <f t="shared" si="1"/>
        <v>88.059493853891126</v>
      </c>
      <c r="E22" s="6">
        <f t="shared" si="2"/>
        <v>132.08924078083692</v>
      </c>
      <c r="F22" s="6">
        <v>0</v>
      </c>
      <c r="G22" s="6">
        <f t="shared" si="4"/>
        <v>45</v>
      </c>
      <c r="H22" s="6">
        <f t="shared" si="4"/>
        <v>90</v>
      </c>
      <c r="I22" s="6">
        <f t="shared" si="4"/>
        <v>129.375</v>
      </c>
      <c r="J22" s="6">
        <v>0</v>
      </c>
      <c r="K22" s="9"/>
      <c r="L22" s="9"/>
      <c r="M22" s="9"/>
    </row>
    <row r="23" spans="1:13">
      <c r="A23" s="6">
        <v>-10</v>
      </c>
      <c r="B23" s="6">
        <v>0</v>
      </c>
      <c r="C23" s="7">
        <f t="shared" si="0"/>
        <v>335.31508708681577</v>
      </c>
      <c r="D23" s="6">
        <f t="shared" si="1"/>
        <v>310.63017417363153</v>
      </c>
      <c r="E23" s="6">
        <f t="shared" si="2"/>
        <v>285.9452612604473</v>
      </c>
      <c r="F23" s="6">
        <v>0</v>
      </c>
      <c r="G23" s="6">
        <f t="shared" si="4"/>
        <v>337.5</v>
      </c>
      <c r="H23" s="6">
        <f t="shared" si="4"/>
        <v>309.375</v>
      </c>
      <c r="I23" s="6">
        <f t="shared" si="4"/>
        <v>286.875</v>
      </c>
      <c r="J23" s="6">
        <v>0</v>
      </c>
      <c r="K23" s="9"/>
      <c r="L23" s="9"/>
      <c r="M23" s="9"/>
    </row>
    <row r="24" spans="1:13">
      <c r="A24" s="6">
        <v>-9</v>
      </c>
      <c r="B24" s="6">
        <v>0</v>
      </c>
      <c r="C24" s="7">
        <f t="shared" si="0"/>
        <v>266.38862753549085</v>
      </c>
      <c r="D24" s="6">
        <f t="shared" si="1"/>
        <v>172.77725507098171</v>
      </c>
      <c r="E24" s="6">
        <f t="shared" si="2"/>
        <v>79.165882606472678</v>
      </c>
      <c r="F24" s="6">
        <v>0</v>
      </c>
      <c r="G24" s="6">
        <f t="shared" si="4"/>
        <v>264.375</v>
      </c>
      <c r="H24" s="6">
        <f t="shared" si="4"/>
        <v>174.375</v>
      </c>
      <c r="I24" s="6">
        <f t="shared" si="4"/>
        <v>78.75</v>
      </c>
      <c r="J24" s="6">
        <v>0</v>
      </c>
      <c r="K24" s="9"/>
      <c r="L24" s="9"/>
      <c r="M24" s="9"/>
    </row>
    <row r="25" spans="1:13">
      <c r="A25" s="6">
        <v>-8</v>
      </c>
      <c r="B25" s="6">
        <v>0</v>
      </c>
      <c r="C25" s="7">
        <f t="shared" si="0"/>
        <v>197.27136394025558</v>
      </c>
      <c r="D25" s="6">
        <f t="shared" si="1"/>
        <v>34.542727880511165</v>
      </c>
      <c r="E25" s="6">
        <f t="shared" si="2"/>
        <v>231.81409182076686</v>
      </c>
      <c r="F25" s="6">
        <v>0</v>
      </c>
      <c r="G25" s="6">
        <f t="shared" si="4"/>
        <v>196.875</v>
      </c>
      <c r="H25" s="6">
        <f t="shared" si="4"/>
        <v>33.75</v>
      </c>
      <c r="I25" s="6">
        <f t="shared" si="4"/>
        <v>230.625</v>
      </c>
      <c r="J25" s="6">
        <v>0</v>
      </c>
      <c r="K25" s="9"/>
      <c r="L25" s="9"/>
      <c r="M25" s="9"/>
    </row>
    <row r="26" spans="1:13">
      <c r="A26" s="6">
        <v>-7</v>
      </c>
      <c r="B26" s="6">
        <v>0</v>
      </c>
      <c r="C26" s="7">
        <f t="shared" si="0"/>
        <v>127.98435008915527</v>
      </c>
      <c r="D26" s="6">
        <f t="shared" si="1"/>
        <v>255.96870017831054</v>
      </c>
      <c r="E26" s="6">
        <f t="shared" si="2"/>
        <v>23.953050267465869</v>
      </c>
      <c r="F26" s="6">
        <v>0</v>
      </c>
      <c r="G26" s="6">
        <f t="shared" si="4"/>
        <v>129.375</v>
      </c>
      <c r="H26" s="6">
        <f t="shared" si="4"/>
        <v>258.75</v>
      </c>
      <c r="I26" s="6">
        <f t="shared" si="4"/>
        <v>22.5</v>
      </c>
      <c r="J26" s="6">
        <v>0</v>
      </c>
      <c r="K26" s="9"/>
      <c r="L26" s="9"/>
      <c r="M26" s="9"/>
    </row>
    <row r="27" spans="1:13">
      <c r="A27" s="6">
        <v>-6</v>
      </c>
      <c r="B27" s="6">
        <v>0</v>
      </c>
      <c r="C27" s="7">
        <f t="shared" si="0"/>
        <v>58.548691477807267</v>
      </c>
      <c r="D27" s="6">
        <f t="shared" si="1"/>
        <v>117.09738295561453</v>
      </c>
      <c r="E27" s="6">
        <f t="shared" si="2"/>
        <v>175.64607443342175</v>
      </c>
      <c r="F27" s="6">
        <v>0</v>
      </c>
      <c r="G27" s="6">
        <f t="shared" si="4"/>
        <v>56.25</v>
      </c>
      <c r="H27" s="6">
        <f t="shared" si="4"/>
        <v>118.125</v>
      </c>
      <c r="I27" s="6">
        <f t="shared" si="4"/>
        <v>174.375</v>
      </c>
      <c r="J27" s="6">
        <v>0</v>
      </c>
      <c r="K27" s="9"/>
      <c r="L27" s="9"/>
      <c r="M27" s="9"/>
    </row>
    <row r="28" spans="1:13">
      <c r="A28" s="6">
        <v>-5</v>
      </c>
      <c r="B28" s="6">
        <v>0</v>
      </c>
      <c r="C28" s="7">
        <f t="shared" si="0"/>
        <v>348.98553888046297</v>
      </c>
      <c r="D28" s="6">
        <f t="shared" si="1"/>
        <v>337.97107776092594</v>
      </c>
      <c r="E28" s="6">
        <f t="shared" si="2"/>
        <v>326.95661664138879</v>
      </c>
      <c r="F28" s="6">
        <v>0</v>
      </c>
      <c r="G28" s="6">
        <f t="shared" si="4"/>
        <v>348.75</v>
      </c>
      <c r="H28" s="6">
        <f t="shared" si="4"/>
        <v>337.5</v>
      </c>
      <c r="I28" s="6">
        <f t="shared" si="4"/>
        <v>326.25</v>
      </c>
      <c r="J28" s="6">
        <v>0</v>
      </c>
      <c r="K28" s="9"/>
      <c r="L28" s="9"/>
      <c r="M28" s="9"/>
    </row>
    <row r="29" spans="1:13">
      <c r="A29" s="6">
        <v>-4</v>
      </c>
      <c r="B29" s="6">
        <v>0</v>
      </c>
      <c r="C29" s="7">
        <f t="shared" si="0"/>
        <v>279.31608190727678</v>
      </c>
      <c r="D29" s="6">
        <f t="shared" si="1"/>
        <v>198.63216381455356</v>
      </c>
      <c r="E29" s="6">
        <f t="shared" si="2"/>
        <v>117.94824572183029</v>
      </c>
      <c r="F29" s="6">
        <v>0</v>
      </c>
      <c r="G29" s="6">
        <f t="shared" si="4"/>
        <v>281.25</v>
      </c>
      <c r="H29" s="6">
        <f t="shared" si="4"/>
        <v>196.875</v>
      </c>
      <c r="I29" s="6">
        <f t="shared" si="4"/>
        <v>118.125</v>
      </c>
      <c r="J29" s="6">
        <v>0</v>
      </c>
      <c r="K29" s="9"/>
      <c r="L29" s="9"/>
      <c r="M29" s="9"/>
    </row>
    <row r="30" spans="1:13">
      <c r="A30" s="6">
        <v>-3</v>
      </c>
      <c r="B30" s="6">
        <v>0</v>
      </c>
      <c r="C30" s="7">
        <f t="shared" si="0"/>
        <v>209.56154254974595</v>
      </c>
      <c r="D30" s="6">
        <f t="shared" si="1"/>
        <v>59.123085099491902</v>
      </c>
      <c r="E30" s="6">
        <f t="shared" si="2"/>
        <v>268.68462764923788</v>
      </c>
      <c r="F30" s="6">
        <v>0</v>
      </c>
      <c r="G30" s="6">
        <f t="shared" si="4"/>
        <v>208.125</v>
      </c>
      <c r="H30" s="6">
        <f t="shared" si="4"/>
        <v>61.875</v>
      </c>
      <c r="I30" s="6">
        <f t="shared" si="4"/>
        <v>270</v>
      </c>
      <c r="J30" s="6">
        <v>0</v>
      </c>
      <c r="K30" s="9"/>
      <c r="L30" s="9"/>
      <c r="M30" s="9"/>
    </row>
    <row r="31" spans="1:13">
      <c r="A31" s="6">
        <v>-2</v>
      </c>
      <c r="B31" s="6">
        <v>0</v>
      </c>
      <c r="C31" s="7">
        <f t="shared" si="0"/>
        <v>139.74316871628628</v>
      </c>
      <c r="D31" s="6">
        <f t="shared" si="1"/>
        <v>279.48633743257255</v>
      </c>
      <c r="E31" s="6">
        <f t="shared" si="2"/>
        <v>59.229506148858832</v>
      </c>
      <c r="F31" s="6">
        <v>0</v>
      </c>
      <c r="G31" s="6">
        <f t="shared" si="4"/>
        <v>140.625</v>
      </c>
      <c r="H31" s="6">
        <f t="shared" si="4"/>
        <v>281.25</v>
      </c>
      <c r="I31" s="6">
        <f t="shared" si="4"/>
        <v>61.875</v>
      </c>
      <c r="J31" s="6">
        <v>0</v>
      </c>
      <c r="K31" s="9"/>
      <c r="L31" s="9"/>
      <c r="M31" s="9"/>
    </row>
    <row r="32" spans="1:13">
      <c r="A32" s="6">
        <v>-1</v>
      </c>
      <c r="B32" s="6">
        <v>0</v>
      </c>
      <c r="C32" s="7">
        <f t="shared" si="0"/>
        <v>69.88222775991315</v>
      </c>
      <c r="D32" s="6">
        <f t="shared" si="1"/>
        <v>139.7644555198263</v>
      </c>
      <c r="E32" s="6">
        <f t="shared" si="2"/>
        <v>209.64668327973945</v>
      </c>
      <c r="F32" s="1">
        <v>0</v>
      </c>
      <c r="G32" s="6">
        <f t="shared" si="4"/>
        <v>67.5</v>
      </c>
      <c r="H32" s="6">
        <f t="shared" si="4"/>
        <v>140.625</v>
      </c>
      <c r="I32" s="6">
        <f t="shared" si="4"/>
        <v>208.125</v>
      </c>
      <c r="J32" s="1">
        <v>0</v>
      </c>
      <c r="K32" s="9">
        <v>70</v>
      </c>
      <c r="L32" s="9">
        <v>140</v>
      </c>
      <c r="M32" s="9">
        <v>210</v>
      </c>
    </row>
    <row r="33" spans="1:13">
      <c r="A33" s="6">
        <v>0</v>
      </c>
      <c r="B33" s="6">
        <v>0</v>
      </c>
      <c r="C33" s="7">
        <f t="shared" si="0"/>
        <v>0</v>
      </c>
      <c r="D33" s="6">
        <f t="shared" si="1"/>
        <v>0</v>
      </c>
      <c r="E33" s="6">
        <f t="shared" si="2"/>
        <v>0</v>
      </c>
      <c r="F33" s="6">
        <v>0</v>
      </c>
      <c r="G33" s="6">
        <f t="shared" si="4"/>
        <v>0</v>
      </c>
      <c r="H33" s="6">
        <f t="shared" si="4"/>
        <v>0</v>
      </c>
      <c r="I33" s="6">
        <f t="shared" si="4"/>
        <v>0</v>
      </c>
      <c r="J33" s="6">
        <v>0</v>
      </c>
      <c r="K33" s="9">
        <v>0</v>
      </c>
      <c r="L33" s="9">
        <v>0</v>
      </c>
      <c r="M33" s="9">
        <v>0</v>
      </c>
    </row>
    <row r="34" spans="1:13">
      <c r="A34" s="6">
        <v>1</v>
      </c>
      <c r="B34" s="6">
        <v>0</v>
      </c>
      <c r="C34" s="7">
        <f t="shared" si="0"/>
        <v>290.11777224008688</v>
      </c>
      <c r="D34" s="6">
        <f t="shared" si="1"/>
        <v>220.2355444801737</v>
      </c>
      <c r="E34" s="6">
        <f t="shared" si="2"/>
        <v>150.35331672026055</v>
      </c>
      <c r="F34" s="6">
        <v>0</v>
      </c>
      <c r="G34" s="6">
        <f t="shared" si="4"/>
        <v>292.5</v>
      </c>
      <c r="H34" s="6">
        <f t="shared" si="4"/>
        <v>219.375</v>
      </c>
      <c r="I34" s="6">
        <f t="shared" si="4"/>
        <v>151.875</v>
      </c>
      <c r="J34" s="6">
        <v>0</v>
      </c>
      <c r="K34" s="9">
        <v>290</v>
      </c>
      <c r="L34" s="9">
        <v>220</v>
      </c>
      <c r="M34" s="9">
        <v>150</v>
      </c>
    </row>
    <row r="35" spans="1:13">
      <c r="A35" s="6">
        <v>2</v>
      </c>
      <c r="B35" s="6">
        <v>0</v>
      </c>
      <c r="C35" s="7">
        <f t="shared" ref="C35:C63" si="5">MOD(-180*Freq*15.52*2*SIN(A35*PI()/180)/300,360)</f>
        <v>220.25683128371372</v>
      </c>
      <c r="D35" s="6">
        <f t="shared" ref="D35:D63" si="6">MOD(-180*Freq*2*15.52*2*SIN(A35*PI()/180)/300,360)</f>
        <v>80.513662567427446</v>
      </c>
      <c r="E35" s="6">
        <f t="shared" ref="E35:E63" si="7">MOD(-180*Freq*3*15.52*2*SIN(A35*PI()/180)/300,360)</f>
        <v>300.77049385114117</v>
      </c>
      <c r="F35" s="6">
        <v>0</v>
      </c>
      <c r="G35" s="6">
        <f t="shared" si="4"/>
        <v>219.375</v>
      </c>
      <c r="H35" s="6">
        <f t="shared" si="4"/>
        <v>78.75</v>
      </c>
      <c r="I35" s="6">
        <f t="shared" si="4"/>
        <v>298.125</v>
      </c>
      <c r="J35" s="6">
        <v>0</v>
      </c>
      <c r="K35" s="9"/>
      <c r="L35" s="9"/>
      <c r="M35" s="9"/>
    </row>
    <row r="36" spans="1:13">
      <c r="A36" s="6">
        <v>3</v>
      </c>
      <c r="B36" s="6">
        <v>0</v>
      </c>
      <c r="C36" s="7">
        <f t="shared" si="5"/>
        <v>150.43845745025405</v>
      </c>
      <c r="D36" s="6">
        <f t="shared" si="6"/>
        <v>300.8769149005081</v>
      </c>
      <c r="E36" s="6">
        <f t="shared" si="7"/>
        <v>91.315372350762118</v>
      </c>
      <c r="F36" s="6">
        <v>0</v>
      </c>
      <c r="G36" s="6">
        <f t="shared" si="4"/>
        <v>151.875</v>
      </c>
      <c r="H36" s="6">
        <f t="shared" si="4"/>
        <v>298.125</v>
      </c>
      <c r="I36" s="6">
        <f t="shared" si="4"/>
        <v>90</v>
      </c>
      <c r="J36" s="6">
        <v>0</v>
      </c>
      <c r="K36" s="9"/>
      <c r="L36" s="9"/>
      <c r="M36" s="9"/>
    </row>
    <row r="37" spans="1:13">
      <c r="A37" s="6">
        <v>4</v>
      </c>
      <c r="B37" s="6">
        <v>0</v>
      </c>
      <c r="C37" s="7">
        <f t="shared" si="5"/>
        <v>80.683918092723218</v>
      </c>
      <c r="D37" s="6">
        <f t="shared" si="6"/>
        <v>161.36783618544644</v>
      </c>
      <c r="E37" s="6">
        <f t="shared" si="7"/>
        <v>242.05175427816971</v>
      </c>
      <c r="F37" s="6">
        <v>0</v>
      </c>
      <c r="G37" s="6">
        <f t="shared" si="4"/>
        <v>78.75</v>
      </c>
      <c r="H37" s="6">
        <f t="shared" si="4"/>
        <v>163.125</v>
      </c>
      <c r="I37" s="6">
        <f t="shared" si="4"/>
        <v>241.875</v>
      </c>
      <c r="J37" s="6">
        <v>0</v>
      </c>
      <c r="K37" s="9"/>
      <c r="L37" s="9"/>
      <c r="M37" s="9"/>
    </row>
    <row r="38" spans="1:13">
      <c r="A38" s="6">
        <v>5</v>
      </c>
      <c r="B38" s="6">
        <v>0</v>
      </c>
      <c r="C38" s="7">
        <f t="shared" si="5"/>
        <v>11.014461119537032</v>
      </c>
      <c r="D38" s="6">
        <f t="shared" si="6"/>
        <v>22.028922239074063</v>
      </c>
      <c r="E38" s="6">
        <f t="shared" si="7"/>
        <v>33.043383358611209</v>
      </c>
      <c r="F38" s="6">
        <v>0</v>
      </c>
      <c r="G38" s="6">
        <f t="shared" si="4"/>
        <v>11.25</v>
      </c>
      <c r="H38" s="6">
        <f t="shared" si="4"/>
        <v>22.5</v>
      </c>
      <c r="I38" s="6">
        <f t="shared" si="4"/>
        <v>33.75</v>
      </c>
      <c r="J38" s="6">
        <v>0</v>
      </c>
      <c r="K38" s="9"/>
      <c r="L38" s="9"/>
      <c r="M38" s="9"/>
    </row>
    <row r="39" spans="1:13">
      <c r="A39" s="6">
        <v>6</v>
      </c>
      <c r="B39" s="6">
        <v>0</v>
      </c>
      <c r="C39" s="7">
        <f t="shared" si="5"/>
        <v>301.45130852219273</v>
      </c>
      <c r="D39" s="6">
        <f t="shared" si="6"/>
        <v>242.90261704438547</v>
      </c>
      <c r="E39" s="6">
        <f t="shared" si="7"/>
        <v>184.35392556657825</v>
      </c>
      <c r="F39" s="6">
        <v>0</v>
      </c>
      <c r="G39" s="6">
        <f t="shared" si="4"/>
        <v>303.75</v>
      </c>
      <c r="H39" s="6">
        <f t="shared" si="4"/>
        <v>241.875</v>
      </c>
      <c r="I39" s="6">
        <f t="shared" si="4"/>
        <v>185.625</v>
      </c>
      <c r="J39" s="6">
        <v>0</v>
      </c>
      <c r="K39" s="10"/>
      <c r="L39" s="11"/>
      <c r="M39" s="9"/>
    </row>
    <row r="40" spans="1:13">
      <c r="A40" s="6">
        <v>7</v>
      </c>
      <c r="B40" s="6">
        <v>0</v>
      </c>
      <c r="C40" s="7">
        <f t="shared" si="5"/>
        <v>232.01564991084473</v>
      </c>
      <c r="D40" s="6">
        <f t="shared" si="6"/>
        <v>104.03129982168946</v>
      </c>
      <c r="E40" s="6">
        <f t="shared" si="7"/>
        <v>336.04694973253413</v>
      </c>
      <c r="F40" s="6">
        <v>0</v>
      </c>
      <c r="G40" s="6">
        <f t="shared" si="4"/>
        <v>230.625</v>
      </c>
      <c r="H40" s="6">
        <f t="shared" si="4"/>
        <v>101.25</v>
      </c>
      <c r="I40" s="6">
        <f t="shared" si="4"/>
        <v>337.5</v>
      </c>
      <c r="J40" s="6">
        <v>0</v>
      </c>
      <c r="K40" s="9"/>
      <c r="L40" s="9"/>
      <c r="M40" s="9"/>
    </row>
    <row r="41" spans="1:13">
      <c r="A41" s="6">
        <v>8</v>
      </c>
      <c r="B41" s="6">
        <v>0</v>
      </c>
      <c r="C41" s="7">
        <f t="shared" si="5"/>
        <v>162.72863605974442</v>
      </c>
      <c r="D41" s="6">
        <f t="shared" si="6"/>
        <v>325.45727211948883</v>
      </c>
      <c r="E41" s="6">
        <f t="shared" si="7"/>
        <v>128.18590817923314</v>
      </c>
      <c r="F41" s="6">
        <v>0</v>
      </c>
      <c r="G41" s="6">
        <f t="shared" si="4"/>
        <v>163.125</v>
      </c>
      <c r="H41" s="6">
        <f t="shared" si="4"/>
        <v>326.25</v>
      </c>
      <c r="I41" s="6">
        <f t="shared" si="4"/>
        <v>129.375</v>
      </c>
      <c r="J41" s="6">
        <v>0</v>
      </c>
      <c r="K41" s="9"/>
      <c r="L41" s="9"/>
      <c r="M41" s="9"/>
    </row>
    <row r="42" spans="1:13">
      <c r="A42" s="6">
        <v>9</v>
      </c>
      <c r="B42" s="6">
        <v>0</v>
      </c>
      <c r="C42" s="7">
        <f t="shared" si="5"/>
        <v>93.611372464509145</v>
      </c>
      <c r="D42" s="6">
        <f t="shared" si="6"/>
        <v>187.22274492901829</v>
      </c>
      <c r="E42" s="6">
        <f t="shared" si="7"/>
        <v>280.83411739352732</v>
      </c>
      <c r="F42" s="6">
        <v>0</v>
      </c>
      <c r="G42" s="6">
        <f t="shared" si="4"/>
        <v>95.625</v>
      </c>
      <c r="H42" s="6">
        <f t="shared" si="4"/>
        <v>185.625</v>
      </c>
      <c r="I42" s="6">
        <f t="shared" si="4"/>
        <v>281.25</v>
      </c>
      <c r="J42" s="6">
        <v>0</v>
      </c>
      <c r="K42" s="9"/>
      <c r="L42" s="9"/>
      <c r="M42" s="9"/>
    </row>
    <row r="43" spans="1:13">
      <c r="A43" s="6">
        <v>10</v>
      </c>
      <c r="B43" s="6">
        <v>0</v>
      </c>
      <c r="C43" s="7">
        <f t="shared" si="5"/>
        <v>24.684912913184235</v>
      </c>
      <c r="D43" s="6">
        <f t="shared" si="6"/>
        <v>49.369825826368469</v>
      </c>
      <c r="E43" s="6">
        <f t="shared" si="7"/>
        <v>74.054738739552704</v>
      </c>
      <c r="F43" s="6">
        <v>0</v>
      </c>
      <c r="G43" s="6">
        <f t="shared" si="4"/>
        <v>22.5</v>
      </c>
      <c r="H43" s="6">
        <f t="shared" si="4"/>
        <v>50.625</v>
      </c>
      <c r="I43" s="6">
        <f t="shared" si="4"/>
        <v>73.125</v>
      </c>
      <c r="J43" s="6">
        <v>0</v>
      </c>
      <c r="K43" s="9"/>
      <c r="L43" s="9"/>
      <c r="M43" s="9"/>
    </row>
    <row r="44" spans="1:13">
      <c r="A44" s="6">
        <v>11</v>
      </c>
      <c r="B44" s="6">
        <v>0</v>
      </c>
      <c r="C44" s="7">
        <f t="shared" si="5"/>
        <v>315.97025307305444</v>
      </c>
      <c r="D44" s="6">
        <f t="shared" si="6"/>
        <v>271.94050614610887</v>
      </c>
      <c r="E44" s="6">
        <f t="shared" si="7"/>
        <v>227.91075921916308</v>
      </c>
      <c r="F44" s="6">
        <v>0</v>
      </c>
      <c r="G44" s="6">
        <f t="shared" si="4"/>
        <v>315</v>
      </c>
      <c r="H44" s="6">
        <f t="shared" si="4"/>
        <v>270</v>
      </c>
      <c r="I44" s="6">
        <f t="shared" si="4"/>
        <v>230.625</v>
      </c>
      <c r="J44" s="6">
        <v>0</v>
      </c>
      <c r="K44" s="9"/>
      <c r="L44" s="9"/>
      <c r="M44" s="9"/>
    </row>
    <row r="45" spans="1:13">
      <c r="A45" s="6">
        <v>12</v>
      </c>
      <c r="B45" s="6">
        <v>0</v>
      </c>
      <c r="C45" s="7">
        <f t="shared" si="5"/>
        <v>247.48832409516081</v>
      </c>
      <c r="D45" s="6">
        <f t="shared" si="6"/>
        <v>134.97664819032161</v>
      </c>
      <c r="E45" s="6">
        <f t="shared" si="7"/>
        <v>22.464972285482418</v>
      </c>
      <c r="F45" s="6">
        <v>0</v>
      </c>
      <c r="G45" s="6">
        <f t="shared" si="4"/>
        <v>247.5</v>
      </c>
      <c r="H45" s="6">
        <f t="shared" si="4"/>
        <v>135</v>
      </c>
      <c r="I45" s="6">
        <f t="shared" si="4"/>
        <v>22.5</v>
      </c>
      <c r="J45" s="6">
        <v>0</v>
      </c>
      <c r="K45" s="10"/>
      <c r="L45" s="11"/>
      <c r="M45" s="9"/>
    </row>
    <row r="46" spans="1:13">
      <c r="A46" s="6">
        <v>13</v>
      </c>
      <c r="B46" s="6">
        <v>0</v>
      </c>
      <c r="C46" s="7">
        <f t="shared" si="5"/>
        <v>179.25998623846954</v>
      </c>
      <c r="D46" s="6">
        <f t="shared" si="6"/>
        <v>358.51997247693907</v>
      </c>
      <c r="E46" s="6">
        <f t="shared" si="7"/>
        <v>177.77995871540861</v>
      </c>
      <c r="F46" s="6">
        <v>0</v>
      </c>
      <c r="G46" s="6">
        <f t="shared" si="4"/>
        <v>180</v>
      </c>
      <c r="H46" s="6">
        <f t="shared" si="4"/>
        <v>0</v>
      </c>
      <c r="I46" s="6">
        <f t="shared" si="4"/>
        <v>180</v>
      </c>
      <c r="J46" s="6">
        <v>0</v>
      </c>
      <c r="K46" s="9"/>
      <c r="L46" s="9"/>
      <c r="M46" s="9"/>
    </row>
    <row r="47" spans="1:13">
      <c r="A47" s="6">
        <v>14</v>
      </c>
      <c r="B47" s="6">
        <v>0</v>
      </c>
      <c r="C47" s="7">
        <f t="shared" si="5"/>
        <v>111.3060225156346</v>
      </c>
      <c r="D47" s="6">
        <f t="shared" si="6"/>
        <v>222.61204503126919</v>
      </c>
      <c r="E47" s="6">
        <f t="shared" si="7"/>
        <v>333.91806754690333</v>
      </c>
      <c r="F47" s="6">
        <v>0</v>
      </c>
      <c r="G47" s="6">
        <f t="shared" si="4"/>
        <v>112.5</v>
      </c>
      <c r="H47" s="6">
        <f t="shared" si="4"/>
        <v>225</v>
      </c>
      <c r="I47" s="6">
        <f t="shared" si="4"/>
        <v>331.875</v>
      </c>
      <c r="J47" s="6">
        <v>0</v>
      </c>
      <c r="K47" s="9"/>
      <c r="L47" s="9"/>
      <c r="M47" s="9"/>
    </row>
    <row r="48" spans="1:13">
      <c r="A48" s="6">
        <v>15</v>
      </c>
      <c r="B48" s="6">
        <v>0</v>
      </c>
      <c r="C48" s="7">
        <f t="shared" si="5"/>
        <v>43.647132362290449</v>
      </c>
      <c r="D48" s="6">
        <f t="shared" si="6"/>
        <v>87.294264724580898</v>
      </c>
      <c r="E48" s="6">
        <f t="shared" si="7"/>
        <v>130.9413970868718</v>
      </c>
      <c r="F48" s="6">
        <v>0</v>
      </c>
      <c r="G48" s="6">
        <f t="shared" si="4"/>
        <v>45</v>
      </c>
      <c r="H48" s="6">
        <f t="shared" si="4"/>
        <v>90</v>
      </c>
      <c r="I48" s="6">
        <f t="shared" si="4"/>
        <v>129.375</v>
      </c>
      <c r="J48" s="6">
        <v>0</v>
      </c>
      <c r="K48" s="9"/>
      <c r="L48" s="9"/>
      <c r="M48" s="9"/>
    </row>
    <row r="49" spans="1:13">
      <c r="A49" s="6">
        <v>16</v>
      </c>
      <c r="B49" s="6">
        <v>0</v>
      </c>
      <c r="C49" s="7">
        <f t="shared" si="5"/>
        <v>336.30392533180452</v>
      </c>
      <c r="D49" s="6">
        <f t="shared" si="6"/>
        <v>312.60785066360904</v>
      </c>
      <c r="E49" s="6">
        <f t="shared" si="7"/>
        <v>288.91177599541379</v>
      </c>
      <c r="F49" s="6">
        <v>0</v>
      </c>
      <c r="G49" s="6">
        <f t="shared" si="4"/>
        <v>337.5</v>
      </c>
      <c r="H49" s="6">
        <f t="shared" si="4"/>
        <v>315</v>
      </c>
      <c r="I49" s="6">
        <f t="shared" si="4"/>
        <v>286.875</v>
      </c>
      <c r="J49" s="6">
        <v>0</v>
      </c>
      <c r="K49" s="9"/>
      <c r="L49" s="9"/>
      <c r="M49" s="9"/>
    </row>
    <row r="50" spans="1:13">
      <c r="A50" s="6">
        <v>17</v>
      </c>
      <c r="B50" s="6">
        <v>0</v>
      </c>
      <c r="C50" s="7">
        <f t="shared" si="5"/>
        <v>269.29691481740633</v>
      </c>
      <c r="D50" s="6">
        <f t="shared" si="6"/>
        <v>178.59382963481266</v>
      </c>
      <c r="E50" s="6">
        <f t="shared" si="7"/>
        <v>87.890744452218769</v>
      </c>
      <c r="F50" s="6">
        <v>0</v>
      </c>
      <c r="G50" s="6">
        <f t="shared" si="4"/>
        <v>270</v>
      </c>
      <c r="H50" s="6">
        <f t="shared" si="4"/>
        <v>180</v>
      </c>
      <c r="I50" s="6">
        <f t="shared" si="4"/>
        <v>90</v>
      </c>
      <c r="J50" s="6">
        <v>0</v>
      </c>
      <c r="K50" s="9"/>
      <c r="L50" s="9"/>
      <c r="M50" s="9"/>
    </row>
    <row r="51" spans="1:13">
      <c r="A51" s="6">
        <v>18</v>
      </c>
      <c r="B51" s="6">
        <v>0</v>
      </c>
      <c r="C51" s="7">
        <f t="shared" si="5"/>
        <v>202.64651180361057</v>
      </c>
      <c r="D51" s="6">
        <f t="shared" si="6"/>
        <v>45.29302360722113</v>
      </c>
      <c r="E51" s="6">
        <f t="shared" si="7"/>
        <v>247.93953541083192</v>
      </c>
      <c r="F51" s="6">
        <v>0</v>
      </c>
      <c r="G51" s="6">
        <f t="shared" si="4"/>
        <v>202.5</v>
      </c>
      <c r="H51" s="6">
        <f t="shared" si="4"/>
        <v>45</v>
      </c>
      <c r="I51" s="6">
        <f t="shared" si="4"/>
        <v>247.5</v>
      </c>
      <c r="J51" s="6">
        <v>0</v>
      </c>
      <c r="K51" s="9"/>
      <c r="L51" s="9"/>
      <c r="M51" s="9"/>
    </row>
    <row r="52" spans="1:13">
      <c r="A52" s="6">
        <v>19</v>
      </c>
      <c r="B52" s="6">
        <v>0</v>
      </c>
      <c r="C52" s="7">
        <f t="shared" si="5"/>
        <v>136.3730186488317</v>
      </c>
      <c r="D52" s="6">
        <f t="shared" si="6"/>
        <v>272.74603729766341</v>
      </c>
      <c r="E52" s="6">
        <f t="shared" si="7"/>
        <v>49.119055946494882</v>
      </c>
      <c r="F52" s="6">
        <v>0</v>
      </c>
      <c r="G52" s="6">
        <f t="shared" si="4"/>
        <v>135</v>
      </c>
      <c r="H52" s="6">
        <f t="shared" si="4"/>
        <v>270</v>
      </c>
      <c r="I52" s="6">
        <f t="shared" si="4"/>
        <v>50.625</v>
      </c>
      <c r="J52" s="6">
        <v>0</v>
      </c>
      <c r="K52" s="9"/>
      <c r="L52" s="9"/>
      <c r="M52" s="9"/>
    </row>
    <row r="53" spans="1:13">
      <c r="A53" s="6">
        <v>20</v>
      </c>
      <c r="B53" s="6">
        <v>0</v>
      </c>
      <c r="C53" s="7">
        <f t="shared" si="5"/>
        <v>70.496622901090404</v>
      </c>
      <c r="D53" s="6">
        <f t="shared" si="6"/>
        <v>140.99324580218081</v>
      </c>
      <c r="E53" s="6">
        <f t="shared" si="7"/>
        <v>211.48986870327099</v>
      </c>
      <c r="F53" s="6">
        <v>0</v>
      </c>
      <c r="G53" s="6">
        <f t="shared" si="4"/>
        <v>73.125</v>
      </c>
      <c r="H53" s="6">
        <f t="shared" si="4"/>
        <v>140.625</v>
      </c>
      <c r="I53" s="6">
        <f t="shared" si="4"/>
        <v>213.75</v>
      </c>
      <c r="J53" s="6">
        <v>0</v>
      </c>
      <c r="K53" s="9"/>
      <c r="L53" s="9"/>
      <c r="M53" s="9"/>
    </row>
    <row r="54" spans="1:13">
      <c r="A54" s="6">
        <v>21</v>
      </c>
      <c r="B54" s="6">
        <v>0</v>
      </c>
      <c r="C54" s="7">
        <f t="shared" si="5"/>
        <v>5.0373911486906309</v>
      </c>
      <c r="D54" s="6">
        <f t="shared" si="6"/>
        <v>10.074782297381262</v>
      </c>
      <c r="E54" s="6">
        <f t="shared" si="7"/>
        <v>15.11217344607121</v>
      </c>
      <c r="F54" s="6">
        <v>0</v>
      </c>
      <c r="G54" s="6">
        <f t="shared" si="4"/>
        <v>5.625</v>
      </c>
      <c r="H54" s="6">
        <f t="shared" si="4"/>
        <v>11.25</v>
      </c>
      <c r="I54" s="6">
        <f t="shared" si="4"/>
        <v>16.875</v>
      </c>
      <c r="J54" s="6">
        <v>0</v>
      </c>
      <c r="K54" s="9"/>
      <c r="L54" s="9"/>
      <c r="M54" s="9"/>
    </row>
    <row r="55" spans="1:13">
      <c r="A55" s="6">
        <v>22</v>
      </c>
      <c r="B55" s="6">
        <v>0</v>
      </c>
      <c r="C55" s="7">
        <f t="shared" si="5"/>
        <v>300.01526290774177</v>
      </c>
      <c r="D55" s="6">
        <f t="shared" si="6"/>
        <v>240.03052581548354</v>
      </c>
      <c r="E55" s="6">
        <f t="shared" si="7"/>
        <v>180.04578872322509</v>
      </c>
      <c r="F55" s="6">
        <v>0</v>
      </c>
      <c r="G55" s="6">
        <f t="shared" si="4"/>
        <v>298.125</v>
      </c>
      <c r="H55" s="6">
        <f t="shared" si="4"/>
        <v>241.875</v>
      </c>
      <c r="I55" s="6">
        <f t="shared" si="4"/>
        <v>180</v>
      </c>
      <c r="J55" s="6">
        <v>0</v>
      </c>
      <c r="K55" s="9"/>
      <c r="L55" s="9"/>
      <c r="M55" s="9"/>
    </row>
    <row r="56" spans="1:13">
      <c r="A56" s="6">
        <v>23</v>
      </c>
      <c r="B56" s="6">
        <v>0</v>
      </c>
      <c r="C56" s="7">
        <f t="shared" si="5"/>
        <v>235.45004454838977</v>
      </c>
      <c r="D56" s="6">
        <f t="shared" si="6"/>
        <v>110.90008909677954</v>
      </c>
      <c r="E56" s="6">
        <f t="shared" si="7"/>
        <v>346.35013364516908</v>
      </c>
      <c r="F56" s="6">
        <v>0</v>
      </c>
      <c r="G56" s="6">
        <f t="shared" si="4"/>
        <v>236.25</v>
      </c>
      <c r="H56" s="6">
        <f t="shared" si="4"/>
        <v>112.5</v>
      </c>
      <c r="I56" s="6">
        <f t="shared" si="4"/>
        <v>348.75</v>
      </c>
      <c r="J56" s="6">
        <v>0</v>
      </c>
      <c r="K56" s="9"/>
      <c r="L56" s="9"/>
      <c r="M56" s="9"/>
    </row>
    <row r="57" spans="1:13">
      <c r="A57" s="6">
        <v>24</v>
      </c>
      <c r="B57" s="6">
        <v>0</v>
      </c>
      <c r="C57" s="7">
        <f t="shared" si="5"/>
        <v>171.36140326160421</v>
      </c>
      <c r="D57" s="6">
        <f t="shared" si="6"/>
        <v>342.72280652320842</v>
      </c>
      <c r="E57" s="6">
        <f t="shared" si="7"/>
        <v>154.08420978481172</v>
      </c>
      <c r="F57" s="6">
        <v>0</v>
      </c>
      <c r="G57" s="6">
        <f t="shared" si="4"/>
        <v>168.75</v>
      </c>
      <c r="H57" s="6">
        <f t="shared" si="4"/>
        <v>343.125</v>
      </c>
      <c r="I57" s="6">
        <f t="shared" si="4"/>
        <v>151.875</v>
      </c>
      <c r="J57" s="6">
        <v>0</v>
      </c>
      <c r="K57" s="9"/>
      <c r="L57" s="9"/>
      <c r="M57" s="9"/>
    </row>
    <row r="58" spans="1:13">
      <c r="A58" s="6">
        <v>25</v>
      </c>
      <c r="B58" s="6">
        <v>0</v>
      </c>
      <c r="C58" s="7">
        <f t="shared" si="5"/>
        <v>107.76886106836082</v>
      </c>
      <c r="D58" s="6">
        <f t="shared" si="6"/>
        <v>215.53772213672164</v>
      </c>
      <c r="E58" s="6">
        <f t="shared" si="7"/>
        <v>323.30658320508246</v>
      </c>
      <c r="F58" s="6">
        <v>0</v>
      </c>
      <c r="G58" s="6">
        <f t="shared" si="4"/>
        <v>106.875</v>
      </c>
      <c r="H58" s="6">
        <f t="shared" si="4"/>
        <v>213.75</v>
      </c>
      <c r="I58" s="6">
        <f t="shared" si="4"/>
        <v>320.625</v>
      </c>
      <c r="J58" s="6">
        <v>0</v>
      </c>
      <c r="K58" s="9"/>
      <c r="L58" s="9"/>
      <c r="M58" s="9"/>
    </row>
    <row r="59" spans="1:13">
      <c r="A59" s="6">
        <v>26</v>
      </c>
      <c r="B59" s="6">
        <v>0</v>
      </c>
      <c r="C59" s="7">
        <f t="shared" si="5"/>
        <v>44.691788873047699</v>
      </c>
      <c r="D59" s="6">
        <f t="shared" si="6"/>
        <v>89.383577746095398</v>
      </c>
      <c r="E59" s="6">
        <f t="shared" si="7"/>
        <v>134.0753666191431</v>
      </c>
      <c r="F59" s="6">
        <v>0</v>
      </c>
      <c r="G59" s="6">
        <f t="shared" si="4"/>
        <v>45</v>
      </c>
      <c r="H59" s="6">
        <f t="shared" si="4"/>
        <v>90</v>
      </c>
      <c r="I59" s="6">
        <f t="shared" si="4"/>
        <v>135</v>
      </c>
      <c r="J59" s="6">
        <v>0</v>
      </c>
      <c r="K59" s="9"/>
      <c r="L59" s="9"/>
      <c r="M59" s="9"/>
    </row>
    <row r="60" spans="1:13">
      <c r="A60" s="6">
        <v>27</v>
      </c>
      <c r="B60" s="6">
        <v>0</v>
      </c>
      <c r="C60" s="7">
        <f t="shared" si="5"/>
        <v>342.14940056289652</v>
      </c>
      <c r="D60" s="6">
        <f t="shared" si="6"/>
        <v>324.29880112579303</v>
      </c>
      <c r="E60" s="6">
        <f t="shared" si="7"/>
        <v>306.44820168868955</v>
      </c>
      <c r="F60" s="6">
        <v>0</v>
      </c>
      <c r="G60" s="6">
        <f t="shared" si="4"/>
        <v>343.125</v>
      </c>
      <c r="H60" s="6">
        <f t="shared" si="4"/>
        <v>326.25</v>
      </c>
      <c r="I60" s="6">
        <f t="shared" si="4"/>
        <v>303.75</v>
      </c>
      <c r="J60" s="6">
        <v>0</v>
      </c>
      <c r="K60" s="9"/>
      <c r="L60" s="9"/>
      <c r="M60" s="9"/>
    </row>
    <row r="61" spans="1:13">
      <c r="A61" s="6">
        <v>28</v>
      </c>
      <c r="B61" s="6">
        <v>0</v>
      </c>
      <c r="C61" s="7">
        <f t="shared" si="5"/>
        <v>280.16074715524746</v>
      </c>
      <c r="D61" s="6">
        <f t="shared" si="6"/>
        <v>200.32149431049493</v>
      </c>
      <c r="E61" s="6">
        <f t="shared" si="7"/>
        <v>120.48224146574285</v>
      </c>
      <c r="F61" s="6">
        <v>0</v>
      </c>
      <c r="G61" s="6">
        <f t="shared" si="4"/>
        <v>281.25</v>
      </c>
      <c r="H61" s="6">
        <f t="shared" si="4"/>
        <v>202.5</v>
      </c>
      <c r="I61" s="6">
        <f t="shared" si="4"/>
        <v>118.125</v>
      </c>
      <c r="J61" s="6">
        <v>0</v>
      </c>
      <c r="K61" s="9"/>
      <c r="L61" s="9"/>
      <c r="M61" s="9"/>
    </row>
    <row r="62" spans="1:13">
      <c r="A62" s="6">
        <v>29</v>
      </c>
      <c r="B62" s="6">
        <v>0</v>
      </c>
      <c r="C62" s="7">
        <f t="shared" si="5"/>
        <v>218.7447109944269</v>
      </c>
      <c r="D62" s="6">
        <f t="shared" si="6"/>
        <v>77.489421988853792</v>
      </c>
      <c r="E62" s="6">
        <f t="shared" si="7"/>
        <v>296.23413298328069</v>
      </c>
      <c r="F62" s="6">
        <v>0</v>
      </c>
      <c r="G62" s="6">
        <f t="shared" si="4"/>
        <v>219.375</v>
      </c>
      <c r="H62" s="6">
        <f t="shared" si="4"/>
        <v>78.75</v>
      </c>
      <c r="I62" s="6">
        <f t="shared" si="4"/>
        <v>298.125</v>
      </c>
      <c r="J62" s="6">
        <v>0</v>
      </c>
      <c r="K62" s="9"/>
      <c r="L62" s="9"/>
      <c r="M62" s="9"/>
    </row>
    <row r="63" spans="1:13">
      <c r="A63" s="6">
        <v>30</v>
      </c>
      <c r="B63" s="6">
        <v>0</v>
      </c>
      <c r="C63" s="7">
        <f t="shared" si="5"/>
        <v>157.9200000000003</v>
      </c>
      <c r="D63" s="6">
        <f t="shared" si="6"/>
        <v>315.8400000000006</v>
      </c>
      <c r="E63" s="6">
        <f t="shared" si="7"/>
        <v>113.76000000000113</v>
      </c>
      <c r="F63" s="6">
        <v>0</v>
      </c>
      <c r="G63" s="6">
        <f t="shared" si="4"/>
        <v>157.5</v>
      </c>
      <c r="H63" s="6">
        <f t="shared" si="4"/>
        <v>315</v>
      </c>
      <c r="I63" s="6">
        <f t="shared" si="4"/>
        <v>112.5</v>
      </c>
      <c r="J63" s="6">
        <v>0</v>
      </c>
      <c r="K63" s="9">
        <v>158</v>
      </c>
      <c r="L63" s="9">
        <v>316</v>
      </c>
      <c r="M63" s="9">
        <v>114</v>
      </c>
    </row>
  </sheetData>
  <mergeCells count="3">
    <mergeCell ref="C1:E1"/>
    <mergeCell ref="K1:M1"/>
    <mergeCell ref="G1:I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80DC-7BB7-44DC-931F-8A76E0EECF4B}">
  <dimension ref="A1:M63"/>
  <sheetViews>
    <sheetView workbookViewId="0">
      <pane ySplit="2" topLeftCell="A3" activePane="bottomLeft" state="frozen"/>
      <selection pane="bottomLeft" activeCell="N24" sqref="N24"/>
    </sheetView>
  </sheetViews>
  <sheetFormatPr defaultRowHeight="14"/>
  <cols>
    <col min="2" max="2" width="7.36328125" customWidth="1"/>
    <col min="3" max="3" width="7.453125" customWidth="1"/>
    <col min="6" max="6" width="6.08984375" customWidth="1"/>
    <col min="7" max="7" width="7.1796875" customWidth="1"/>
    <col min="8" max="8" width="7.6328125" customWidth="1"/>
    <col min="9" max="9" width="7.453125" customWidth="1"/>
  </cols>
  <sheetData>
    <row r="1" spans="1:13" ht="15.5">
      <c r="A1" s="5" t="s">
        <v>5</v>
      </c>
      <c r="B1" s="5">
        <v>218</v>
      </c>
      <c r="C1" s="12" t="s">
        <v>6</v>
      </c>
      <c r="D1" s="12"/>
      <c r="E1" s="12"/>
      <c r="F1" s="1"/>
      <c r="G1" s="12" t="s">
        <v>7</v>
      </c>
      <c r="H1" s="12"/>
      <c r="I1" s="12"/>
      <c r="K1" s="12" t="s">
        <v>12</v>
      </c>
      <c r="L1" s="12"/>
      <c r="M1" s="12"/>
    </row>
    <row r="2" spans="1:13" ht="15.5">
      <c r="A2" s="5" t="s">
        <v>4</v>
      </c>
      <c r="B2" s="4" t="s">
        <v>13</v>
      </c>
      <c r="C2" s="4" t="s">
        <v>14</v>
      </c>
      <c r="D2" s="4" t="s">
        <v>15</v>
      </c>
      <c r="E2" s="4" t="s">
        <v>16</v>
      </c>
      <c r="F2" s="2" t="s">
        <v>8</v>
      </c>
      <c r="G2" s="4" t="s">
        <v>9</v>
      </c>
      <c r="H2" s="4" t="s">
        <v>10</v>
      </c>
      <c r="I2" s="4" t="s">
        <v>11</v>
      </c>
      <c r="J2" s="2" t="s">
        <v>0</v>
      </c>
      <c r="K2" s="4" t="s">
        <v>1</v>
      </c>
      <c r="L2" s="4" t="s">
        <v>2</v>
      </c>
      <c r="M2" s="4" t="s">
        <v>3</v>
      </c>
    </row>
    <row r="3" spans="1:13">
      <c r="A3" s="6">
        <v>-30</v>
      </c>
      <c r="B3" s="6">
        <v>0</v>
      </c>
      <c r="C3" s="7">
        <f t="shared" ref="C3:C34" si="0">MOD(-180*Freq*15.52*2*SIN(A3*PI()/180)/300,360)</f>
        <v>230.01599999999939</v>
      </c>
      <c r="D3" s="6">
        <f t="shared" ref="D3:D34" si="1">MOD(-180*Freq*2*15.52*2*SIN(A3*PI()/180)/300,360)</f>
        <v>100.03199999999879</v>
      </c>
      <c r="E3" s="6">
        <f t="shared" ref="E3:E34" si="2">MOD(-180*Freq*3*15.52*2*SIN(A3*PI()/180)/300,360)</f>
        <v>330.04799999999886</v>
      </c>
      <c r="F3" s="6">
        <v>0</v>
      </c>
      <c r="G3" s="6">
        <f>MOD(ROUND(C3/5.625,0)*5.625,360)</f>
        <v>230.625</v>
      </c>
      <c r="H3" s="6">
        <f t="shared" ref="H3:I18" si="3">MOD(ROUND(D3/5.625,0)*5.625,360)</f>
        <v>101.25</v>
      </c>
      <c r="I3" s="6">
        <f t="shared" si="3"/>
        <v>331.875</v>
      </c>
      <c r="J3" s="6">
        <v>0</v>
      </c>
      <c r="K3" s="9"/>
      <c r="L3" s="9"/>
      <c r="M3" s="9"/>
    </row>
    <row r="4" spans="1:13">
      <c r="A4" s="6">
        <v>-29</v>
      </c>
      <c r="B4" s="6">
        <v>0</v>
      </c>
      <c r="C4" s="7">
        <f t="shared" si="0"/>
        <v>168.34257210797637</v>
      </c>
      <c r="D4" s="6">
        <f t="shared" si="1"/>
        <v>336.68514421595273</v>
      </c>
      <c r="E4" s="6">
        <f t="shared" si="2"/>
        <v>145.02771632392887</v>
      </c>
      <c r="F4" s="6">
        <v>0</v>
      </c>
      <c r="G4" s="6">
        <f t="shared" ref="G4:I63" si="4">MOD(ROUND(C4/5.625,0)*5.625,360)</f>
        <v>168.75</v>
      </c>
      <c r="H4" s="6">
        <f t="shared" si="3"/>
        <v>337.5</v>
      </c>
      <c r="I4" s="6">
        <f t="shared" si="3"/>
        <v>146.25</v>
      </c>
      <c r="J4" s="6">
        <v>0</v>
      </c>
      <c r="K4" s="9"/>
      <c r="L4" s="9"/>
      <c r="M4" s="9"/>
    </row>
    <row r="5" spans="1:13">
      <c r="A5" s="6">
        <v>-28</v>
      </c>
      <c r="B5" s="6">
        <v>0</v>
      </c>
      <c r="C5" s="7">
        <f t="shared" si="0"/>
        <v>106.06956800072567</v>
      </c>
      <c r="D5" s="6">
        <f t="shared" si="1"/>
        <v>212.13913600145133</v>
      </c>
      <c r="E5" s="6">
        <f t="shared" si="2"/>
        <v>318.20870400217791</v>
      </c>
      <c r="F5" s="6">
        <v>0</v>
      </c>
      <c r="G5" s="6">
        <f t="shared" si="4"/>
        <v>106.875</v>
      </c>
      <c r="H5" s="6">
        <f t="shared" si="3"/>
        <v>213.75</v>
      </c>
      <c r="I5" s="6">
        <f t="shared" si="3"/>
        <v>320.625</v>
      </c>
      <c r="J5" s="6">
        <v>0</v>
      </c>
      <c r="K5" s="9"/>
      <c r="L5" s="9"/>
      <c r="M5" s="9"/>
    </row>
    <row r="6" spans="1:13">
      <c r="A6" s="6">
        <v>-27</v>
      </c>
      <c r="B6" s="6">
        <v>0</v>
      </c>
      <c r="C6" s="7">
        <f t="shared" si="0"/>
        <v>43.215956638551233</v>
      </c>
      <c r="D6" s="6">
        <f t="shared" si="1"/>
        <v>86.431913277102467</v>
      </c>
      <c r="E6" s="6">
        <f t="shared" si="2"/>
        <v>129.64786991565416</v>
      </c>
      <c r="F6" s="6">
        <v>0</v>
      </c>
      <c r="G6" s="6">
        <f t="shared" si="4"/>
        <v>45</v>
      </c>
      <c r="H6" s="6">
        <f t="shared" si="3"/>
        <v>84.375</v>
      </c>
      <c r="I6" s="6">
        <f t="shared" si="3"/>
        <v>129.375</v>
      </c>
      <c r="J6" s="6">
        <v>0</v>
      </c>
      <c r="K6" s="9"/>
      <c r="L6" s="9"/>
      <c r="M6" s="9"/>
    </row>
    <row r="7" spans="1:13">
      <c r="A7" s="6">
        <v>-26</v>
      </c>
      <c r="B7" s="6">
        <v>0</v>
      </c>
      <c r="C7" s="7">
        <f t="shared" si="0"/>
        <v>339.80088384035116</v>
      </c>
      <c r="D7" s="6">
        <f t="shared" si="1"/>
        <v>319.60176768070232</v>
      </c>
      <c r="E7" s="6">
        <f t="shared" si="2"/>
        <v>299.40265152105439</v>
      </c>
      <c r="F7" s="6">
        <v>0</v>
      </c>
      <c r="G7" s="6">
        <f t="shared" si="4"/>
        <v>337.5</v>
      </c>
      <c r="H7" s="6">
        <f t="shared" si="3"/>
        <v>320.625</v>
      </c>
      <c r="I7" s="6">
        <f t="shared" si="3"/>
        <v>298.125</v>
      </c>
      <c r="J7" s="6">
        <v>0</v>
      </c>
      <c r="K7" s="9"/>
      <c r="L7" s="9"/>
      <c r="M7" s="9"/>
    </row>
    <row r="8" spans="1:13">
      <c r="A8" s="6">
        <v>-25</v>
      </c>
      <c r="B8" s="6">
        <v>0</v>
      </c>
      <c r="C8" s="7">
        <f t="shared" si="0"/>
        <v>275.84366645161526</v>
      </c>
      <c r="D8" s="6">
        <f t="shared" si="1"/>
        <v>191.68733290323053</v>
      </c>
      <c r="E8" s="6">
        <f t="shared" si="2"/>
        <v>107.53099935484624</v>
      </c>
      <c r="F8" s="6">
        <v>0</v>
      </c>
      <c r="G8" s="6">
        <f t="shared" si="4"/>
        <v>275.625</v>
      </c>
      <c r="H8" s="6">
        <f t="shared" si="3"/>
        <v>191.25</v>
      </c>
      <c r="I8" s="6">
        <f t="shared" si="3"/>
        <v>106.875</v>
      </c>
      <c r="J8" s="6">
        <v>0</v>
      </c>
      <c r="K8" s="10"/>
      <c r="L8" s="11"/>
      <c r="M8" s="9"/>
    </row>
    <row r="9" spans="1:13">
      <c r="A9" s="6">
        <v>-24</v>
      </c>
      <c r="B9" s="6">
        <v>0</v>
      </c>
      <c r="C9" s="7">
        <f t="shared" si="0"/>
        <v>211.36378646032699</v>
      </c>
      <c r="D9" s="6">
        <f t="shared" si="1"/>
        <v>62.727572920653984</v>
      </c>
      <c r="E9" s="6">
        <f t="shared" si="2"/>
        <v>274.09135938098098</v>
      </c>
      <c r="F9" s="6">
        <v>0</v>
      </c>
      <c r="G9" s="6">
        <f t="shared" si="4"/>
        <v>213.75</v>
      </c>
      <c r="H9" s="6">
        <f t="shared" si="3"/>
        <v>61.875</v>
      </c>
      <c r="I9" s="6">
        <f t="shared" si="3"/>
        <v>275.625</v>
      </c>
      <c r="J9" s="6">
        <v>0</v>
      </c>
      <c r="K9" s="9"/>
      <c r="L9" s="9"/>
      <c r="M9" s="9"/>
    </row>
    <row r="10" spans="1:13">
      <c r="A10" s="6">
        <v>-23</v>
      </c>
      <c r="B10" s="6">
        <v>0</v>
      </c>
      <c r="C10" s="7">
        <f t="shared" si="0"/>
        <v>146.38088506256258</v>
      </c>
      <c r="D10" s="6">
        <f t="shared" si="1"/>
        <v>292.76177012512517</v>
      </c>
      <c r="E10" s="6">
        <f t="shared" si="2"/>
        <v>79.142655187688433</v>
      </c>
      <c r="F10" s="6">
        <v>0</v>
      </c>
      <c r="G10" s="6">
        <f t="shared" si="4"/>
        <v>146.25</v>
      </c>
      <c r="H10" s="6">
        <f t="shared" si="3"/>
        <v>292.5</v>
      </c>
      <c r="I10" s="6">
        <f t="shared" si="3"/>
        <v>78.75</v>
      </c>
      <c r="J10" s="6">
        <v>0</v>
      </c>
      <c r="K10" s="9"/>
      <c r="L10" s="9"/>
      <c r="M10" s="9"/>
    </row>
    <row r="11" spans="1:13">
      <c r="A11" s="6">
        <v>-22</v>
      </c>
      <c r="B11" s="6">
        <v>0</v>
      </c>
      <c r="C11" s="7">
        <f t="shared" si="0"/>
        <v>80.914756679591846</v>
      </c>
      <c r="D11" s="6">
        <f t="shared" si="1"/>
        <v>161.82951335918369</v>
      </c>
      <c r="E11" s="6">
        <f t="shared" si="2"/>
        <v>242.74427003877645</v>
      </c>
      <c r="F11" s="6">
        <v>0</v>
      </c>
      <c r="G11" s="6">
        <f t="shared" si="4"/>
        <v>78.75</v>
      </c>
      <c r="H11" s="6">
        <f t="shared" si="3"/>
        <v>163.125</v>
      </c>
      <c r="I11" s="6">
        <f t="shared" si="3"/>
        <v>241.875</v>
      </c>
      <c r="J11" s="6">
        <v>0</v>
      </c>
      <c r="K11" s="9"/>
      <c r="L11" s="9"/>
      <c r="M11" s="9"/>
    </row>
    <row r="12" spans="1:13">
      <c r="A12" s="6">
        <v>-21</v>
      </c>
      <c r="B12" s="6">
        <v>0</v>
      </c>
      <c r="C12" s="7">
        <f t="shared" si="0"/>
        <v>14.985342928304362</v>
      </c>
      <c r="D12" s="6">
        <f t="shared" si="1"/>
        <v>29.970685856608725</v>
      </c>
      <c r="E12" s="6">
        <f t="shared" si="2"/>
        <v>44.956028784913542</v>
      </c>
      <c r="F12" s="6">
        <v>0</v>
      </c>
      <c r="G12" s="6">
        <f t="shared" si="4"/>
        <v>16.875</v>
      </c>
      <c r="H12" s="6">
        <f t="shared" si="3"/>
        <v>28.125</v>
      </c>
      <c r="I12" s="6">
        <f t="shared" si="3"/>
        <v>45</v>
      </c>
      <c r="J12" s="6">
        <v>0</v>
      </c>
      <c r="K12" s="9"/>
      <c r="L12" s="9"/>
      <c r="M12" s="9"/>
    </row>
    <row r="13" spans="1:13">
      <c r="A13" s="6">
        <v>-20</v>
      </c>
      <c r="B13" s="6">
        <v>0</v>
      </c>
      <c r="C13" s="7">
        <f t="shared" si="0"/>
        <v>308.61272654680124</v>
      </c>
      <c r="D13" s="6">
        <f t="shared" si="1"/>
        <v>257.22545309360248</v>
      </c>
      <c r="E13" s="6">
        <f t="shared" si="2"/>
        <v>205.83817964040372</v>
      </c>
      <c r="F13" s="6">
        <v>0</v>
      </c>
      <c r="G13" s="6">
        <f t="shared" si="4"/>
        <v>309.375</v>
      </c>
      <c r="H13" s="6">
        <f t="shared" si="3"/>
        <v>258.75</v>
      </c>
      <c r="I13" s="6">
        <f t="shared" si="3"/>
        <v>208.125</v>
      </c>
      <c r="J13" s="6">
        <v>0</v>
      </c>
      <c r="K13" s="9"/>
      <c r="L13" s="9"/>
      <c r="M13" s="9"/>
    </row>
    <row r="14" spans="1:13">
      <c r="A14" s="6">
        <v>-19</v>
      </c>
      <c r="B14" s="6">
        <v>0</v>
      </c>
      <c r="C14" s="7">
        <f t="shared" si="0"/>
        <v>241.81712527699847</v>
      </c>
      <c r="D14" s="6">
        <f t="shared" si="1"/>
        <v>123.63425055399694</v>
      </c>
      <c r="E14" s="6">
        <f t="shared" si="2"/>
        <v>5.4513758309954028</v>
      </c>
      <c r="F14" s="6">
        <v>0</v>
      </c>
      <c r="G14" s="6">
        <f t="shared" si="4"/>
        <v>241.875</v>
      </c>
      <c r="H14" s="6">
        <f t="shared" si="3"/>
        <v>123.75</v>
      </c>
      <c r="I14" s="6">
        <f t="shared" si="3"/>
        <v>5.625</v>
      </c>
      <c r="J14" s="6">
        <v>0</v>
      </c>
      <c r="K14" s="10"/>
      <c r="L14" s="11"/>
      <c r="M14" s="9"/>
    </row>
    <row r="15" spans="1:13">
      <c r="A15" s="6">
        <v>-18</v>
      </c>
      <c r="B15" s="6">
        <v>0</v>
      </c>
      <c r="C15" s="7">
        <f t="shared" si="0"/>
        <v>174.61888570610631</v>
      </c>
      <c r="D15" s="6">
        <f t="shared" si="1"/>
        <v>349.23777141221262</v>
      </c>
      <c r="E15" s="6">
        <f t="shared" si="2"/>
        <v>163.85665711831916</v>
      </c>
      <c r="F15" s="6">
        <v>0</v>
      </c>
      <c r="G15" s="6">
        <f t="shared" si="4"/>
        <v>174.375</v>
      </c>
      <c r="H15" s="6">
        <f t="shared" si="3"/>
        <v>348.75</v>
      </c>
      <c r="I15" s="6">
        <f t="shared" si="3"/>
        <v>163.125</v>
      </c>
      <c r="J15" s="6">
        <v>0</v>
      </c>
      <c r="K15" s="9"/>
      <c r="L15" s="9"/>
      <c r="M15" s="9"/>
    </row>
    <row r="16" spans="1:13">
      <c r="A16" s="6">
        <v>-17</v>
      </c>
      <c r="B16" s="6">
        <v>0</v>
      </c>
      <c r="C16" s="7">
        <f t="shared" si="0"/>
        <v>107.03847706886222</v>
      </c>
      <c r="D16" s="6">
        <f t="shared" si="1"/>
        <v>214.07695413772444</v>
      </c>
      <c r="E16" s="6">
        <f t="shared" si="2"/>
        <v>321.11543120658735</v>
      </c>
      <c r="F16" s="6">
        <v>0</v>
      </c>
      <c r="G16" s="6">
        <f t="shared" si="4"/>
        <v>106.875</v>
      </c>
      <c r="H16" s="6">
        <f t="shared" si="3"/>
        <v>213.75</v>
      </c>
      <c r="I16" s="6">
        <f t="shared" si="3"/>
        <v>320.625</v>
      </c>
      <c r="J16" s="6">
        <v>0</v>
      </c>
      <c r="K16" s="9"/>
      <c r="L16" s="9"/>
      <c r="M16" s="9"/>
    </row>
    <row r="17" spans="1:13">
      <c r="A17" s="6">
        <v>-16</v>
      </c>
      <c r="B17" s="6">
        <v>0</v>
      </c>
      <c r="C17" s="7">
        <f t="shared" si="0"/>
        <v>39.096485012402582</v>
      </c>
      <c r="D17" s="6">
        <f t="shared" si="1"/>
        <v>78.192970024805163</v>
      </c>
      <c r="E17" s="6">
        <f t="shared" si="2"/>
        <v>117.28945503720797</v>
      </c>
      <c r="F17" s="6">
        <v>0</v>
      </c>
      <c r="G17" s="6">
        <f t="shared" si="4"/>
        <v>39.375</v>
      </c>
      <c r="H17" s="6">
        <f t="shared" si="3"/>
        <v>78.75</v>
      </c>
      <c r="I17" s="6">
        <f t="shared" si="3"/>
        <v>118.125</v>
      </c>
      <c r="J17" s="6">
        <v>0</v>
      </c>
      <c r="K17" s="9"/>
      <c r="L17" s="9"/>
      <c r="M17" s="9"/>
    </row>
    <row r="18" spans="1:13">
      <c r="A18" s="6">
        <v>-15</v>
      </c>
      <c r="B18" s="6">
        <v>0</v>
      </c>
      <c r="C18" s="7">
        <f t="shared" si="0"/>
        <v>330.81360532567737</v>
      </c>
      <c r="D18" s="6">
        <f t="shared" si="1"/>
        <v>301.62721065135474</v>
      </c>
      <c r="E18" s="6">
        <f t="shared" si="2"/>
        <v>272.44081597703234</v>
      </c>
      <c r="F18" s="6">
        <v>0</v>
      </c>
      <c r="G18" s="6">
        <f t="shared" si="4"/>
        <v>331.875</v>
      </c>
      <c r="H18" s="6">
        <f t="shared" si="3"/>
        <v>303.75</v>
      </c>
      <c r="I18" s="6">
        <f t="shared" si="3"/>
        <v>270</v>
      </c>
      <c r="J18" s="6">
        <v>0</v>
      </c>
      <c r="K18" s="9"/>
      <c r="L18" s="9"/>
      <c r="M18" s="9"/>
    </row>
    <row r="19" spans="1:13">
      <c r="A19" s="6">
        <v>-14</v>
      </c>
      <c r="B19" s="6">
        <v>0</v>
      </c>
      <c r="C19" s="7">
        <f t="shared" si="0"/>
        <v>262.21063763531004</v>
      </c>
      <c r="D19" s="6">
        <f t="shared" si="1"/>
        <v>164.42127527062007</v>
      </c>
      <c r="E19" s="6">
        <f t="shared" si="2"/>
        <v>66.631912905930676</v>
      </c>
      <c r="F19" s="6">
        <v>0</v>
      </c>
      <c r="G19" s="6">
        <f t="shared" si="4"/>
        <v>264.375</v>
      </c>
      <c r="H19" s="6">
        <f t="shared" si="4"/>
        <v>163.125</v>
      </c>
      <c r="I19" s="6">
        <f t="shared" si="4"/>
        <v>67.5</v>
      </c>
      <c r="J19" s="6">
        <v>0</v>
      </c>
      <c r="K19" s="9"/>
      <c r="L19" s="9"/>
      <c r="M19" s="9"/>
    </row>
    <row r="20" spans="1:13">
      <c r="A20" s="6">
        <v>-13</v>
      </c>
      <c r="B20" s="6">
        <v>0</v>
      </c>
      <c r="C20" s="7">
        <f t="shared" si="0"/>
        <v>193.30847906983092</v>
      </c>
      <c r="D20" s="6">
        <f t="shared" si="1"/>
        <v>26.616958139661847</v>
      </c>
      <c r="E20" s="6">
        <f t="shared" si="2"/>
        <v>219.92543720949243</v>
      </c>
      <c r="F20" s="6">
        <v>0</v>
      </c>
      <c r="G20" s="6">
        <f t="shared" si="4"/>
        <v>191.25</v>
      </c>
      <c r="H20" s="6">
        <f t="shared" si="4"/>
        <v>28.125</v>
      </c>
      <c r="I20" s="6">
        <f t="shared" si="4"/>
        <v>219.375</v>
      </c>
      <c r="J20" s="6">
        <v>0</v>
      </c>
      <c r="K20" s="9"/>
      <c r="L20" s="9"/>
      <c r="M20" s="9"/>
    </row>
    <row r="21" spans="1:13">
      <c r="A21" s="6">
        <v>-12</v>
      </c>
      <c r="B21" s="6">
        <v>0</v>
      </c>
      <c r="C21" s="7">
        <f t="shared" si="0"/>
        <v>124.12811789420891</v>
      </c>
      <c r="D21" s="6">
        <f t="shared" si="1"/>
        <v>248.25623578841783</v>
      </c>
      <c r="E21" s="6">
        <f t="shared" si="2"/>
        <v>12.384353682627079</v>
      </c>
      <c r="F21" s="6">
        <v>0</v>
      </c>
      <c r="G21" s="6">
        <f t="shared" si="4"/>
        <v>123.75</v>
      </c>
      <c r="H21" s="6">
        <f t="shared" si="4"/>
        <v>247.5</v>
      </c>
      <c r="I21" s="6">
        <f t="shared" si="4"/>
        <v>11.25</v>
      </c>
      <c r="J21" s="6">
        <v>0</v>
      </c>
      <c r="K21" s="9"/>
      <c r="L21" s="9"/>
      <c r="M21" s="9"/>
    </row>
    <row r="22" spans="1:13">
      <c r="A22" s="6">
        <v>-11</v>
      </c>
      <c r="B22" s="6">
        <v>0</v>
      </c>
      <c r="C22" s="7">
        <f t="shared" si="0"/>
        <v>54.690627116623887</v>
      </c>
      <c r="D22" s="6">
        <f t="shared" si="1"/>
        <v>109.38125423324777</v>
      </c>
      <c r="E22" s="6">
        <f t="shared" si="2"/>
        <v>164.071881349872</v>
      </c>
      <c r="F22" s="6">
        <v>0</v>
      </c>
      <c r="G22" s="6">
        <f t="shared" si="4"/>
        <v>56.25</v>
      </c>
      <c r="H22" s="6">
        <f t="shared" si="4"/>
        <v>106.875</v>
      </c>
      <c r="I22" s="6">
        <f t="shared" si="4"/>
        <v>163.125</v>
      </c>
      <c r="J22" s="6">
        <v>0</v>
      </c>
      <c r="K22" s="9"/>
      <c r="L22" s="9"/>
      <c r="M22" s="9"/>
    </row>
    <row r="23" spans="1:13">
      <c r="A23" s="6">
        <v>-10</v>
      </c>
      <c r="B23" s="6">
        <v>0</v>
      </c>
      <c r="C23" s="7">
        <f t="shared" si="0"/>
        <v>345.01715806942241</v>
      </c>
      <c r="D23" s="6">
        <f t="shared" si="1"/>
        <v>330.03431613884482</v>
      </c>
      <c r="E23" s="6">
        <f t="shared" si="2"/>
        <v>315.05147420826734</v>
      </c>
      <c r="F23" s="6">
        <v>0</v>
      </c>
      <c r="G23" s="6">
        <f t="shared" si="4"/>
        <v>343.125</v>
      </c>
      <c r="H23" s="6">
        <f t="shared" si="4"/>
        <v>331.875</v>
      </c>
      <c r="I23" s="6">
        <f t="shared" si="4"/>
        <v>315</v>
      </c>
      <c r="J23" s="6">
        <v>0</v>
      </c>
      <c r="K23" s="9"/>
      <c r="L23" s="9"/>
      <c r="M23" s="9"/>
    </row>
    <row r="24" spans="1:13">
      <c r="A24" s="6">
        <v>-9</v>
      </c>
      <c r="B24" s="6">
        <v>0</v>
      </c>
      <c r="C24" s="7">
        <f t="shared" si="0"/>
        <v>275.12893396621848</v>
      </c>
      <c r="D24" s="6">
        <f t="shared" si="1"/>
        <v>190.25786793243697</v>
      </c>
      <c r="E24" s="6">
        <f t="shared" si="2"/>
        <v>105.38680189865568</v>
      </c>
      <c r="F24" s="6">
        <v>0</v>
      </c>
      <c r="G24" s="6">
        <f t="shared" si="4"/>
        <v>275.625</v>
      </c>
      <c r="H24" s="6">
        <f t="shared" si="4"/>
        <v>191.25</v>
      </c>
      <c r="I24" s="6">
        <f t="shared" si="4"/>
        <v>106.875</v>
      </c>
      <c r="J24" s="6">
        <v>0</v>
      </c>
      <c r="K24" s="9"/>
      <c r="L24" s="9"/>
      <c r="M24" s="9"/>
    </row>
    <row r="25" spans="1:13">
      <c r="A25" s="6">
        <v>-8</v>
      </c>
      <c r="B25" s="6">
        <v>0</v>
      </c>
      <c r="C25" s="7">
        <f t="shared" si="0"/>
        <v>205.04724343709643</v>
      </c>
      <c r="D25" s="6">
        <f t="shared" si="1"/>
        <v>50.094486874192853</v>
      </c>
      <c r="E25" s="6">
        <f t="shared" si="2"/>
        <v>255.14173031128894</v>
      </c>
      <c r="F25" s="6">
        <v>0</v>
      </c>
      <c r="G25" s="6">
        <f t="shared" si="4"/>
        <v>202.5</v>
      </c>
      <c r="H25" s="6">
        <f t="shared" si="4"/>
        <v>50.625</v>
      </c>
      <c r="I25" s="6">
        <f t="shared" si="4"/>
        <v>253.125</v>
      </c>
      <c r="J25" s="6">
        <v>0</v>
      </c>
      <c r="K25" s="9"/>
      <c r="L25" s="9"/>
      <c r="M25" s="9"/>
    </row>
    <row r="26" spans="1:13">
      <c r="A26" s="6">
        <v>-7</v>
      </c>
      <c r="B26" s="6">
        <v>0</v>
      </c>
      <c r="C26" s="7">
        <f t="shared" si="0"/>
        <v>134.79343404388766</v>
      </c>
      <c r="D26" s="6">
        <f t="shared" si="1"/>
        <v>269.58686808777531</v>
      </c>
      <c r="E26" s="6">
        <f t="shared" si="2"/>
        <v>44.380302131663029</v>
      </c>
      <c r="F26" s="6">
        <v>0</v>
      </c>
      <c r="G26" s="6">
        <f t="shared" si="4"/>
        <v>135</v>
      </c>
      <c r="H26" s="6">
        <f t="shared" si="4"/>
        <v>270</v>
      </c>
      <c r="I26" s="6">
        <f t="shared" si="4"/>
        <v>45</v>
      </c>
      <c r="J26" s="6">
        <v>0</v>
      </c>
      <c r="K26" s="9"/>
      <c r="L26" s="9"/>
      <c r="M26" s="9"/>
    </row>
    <row r="27" spans="1:13">
      <c r="A27" s="6">
        <v>-6</v>
      </c>
      <c r="B27" s="6">
        <v>0</v>
      </c>
      <c r="C27" s="7">
        <f t="shared" si="0"/>
        <v>64.388905777497541</v>
      </c>
      <c r="D27" s="6">
        <f t="shared" si="1"/>
        <v>128.77781155499508</v>
      </c>
      <c r="E27" s="6">
        <f t="shared" si="2"/>
        <v>193.16671733249268</v>
      </c>
      <c r="F27" s="6">
        <v>0</v>
      </c>
      <c r="G27" s="6">
        <f t="shared" si="4"/>
        <v>61.875</v>
      </c>
      <c r="H27" s="6">
        <f t="shared" si="4"/>
        <v>129.375</v>
      </c>
      <c r="I27" s="6">
        <f t="shared" si="4"/>
        <v>191.25</v>
      </c>
      <c r="J27" s="6">
        <v>0</v>
      </c>
      <c r="K27" s="9"/>
      <c r="L27" s="9"/>
      <c r="M27" s="9"/>
    </row>
    <row r="28" spans="1:13">
      <c r="A28" s="6">
        <v>-5</v>
      </c>
      <c r="B28" s="6">
        <v>0</v>
      </c>
      <c r="C28" s="7">
        <f t="shared" si="0"/>
        <v>353.85510453926003</v>
      </c>
      <c r="D28" s="6">
        <f t="shared" si="1"/>
        <v>347.71020907852005</v>
      </c>
      <c r="E28" s="6">
        <f t="shared" si="2"/>
        <v>341.56531361778025</v>
      </c>
      <c r="F28" s="6">
        <v>0</v>
      </c>
      <c r="G28" s="6">
        <f t="shared" si="4"/>
        <v>354.375</v>
      </c>
      <c r="H28" s="6">
        <f t="shared" si="4"/>
        <v>348.75</v>
      </c>
      <c r="I28" s="6">
        <f t="shared" si="4"/>
        <v>343.125</v>
      </c>
      <c r="J28" s="6">
        <v>0</v>
      </c>
      <c r="K28" s="9"/>
      <c r="L28" s="9"/>
      <c r="M28" s="9"/>
    </row>
    <row r="29" spans="1:13">
      <c r="A29" s="6">
        <v>-4</v>
      </c>
      <c r="B29" s="6">
        <v>0</v>
      </c>
      <c r="C29" s="7">
        <f t="shared" si="0"/>
        <v>283.21351560830851</v>
      </c>
      <c r="D29" s="6">
        <f t="shared" si="1"/>
        <v>206.42703121661702</v>
      </c>
      <c r="E29" s="6">
        <f t="shared" si="2"/>
        <v>129.64054682492565</v>
      </c>
      <c r="F29" s="6">
        <v>0</v>
      </c>
      <c r="G29" s="6">
        <f t="shared" si="4"/>
        <v>281.25</v>
      </c>
      <c r="H29" s="6">
        <f t="shared" si="4"/>
        <v>208.125</v>
      </c>
      <c r="I29" s="6">
        <f t="shared" si="4"/>
        <v>129.375</v>
      </c>
      <c r="J29" s="6">
        <v>0</v>
      </c>
      <c r="K29" s="9"/>
      <c r="L29" s="9"/>
      <c r="M29" s="9"/>
    </row>
    <row r="30" spans="1:13">
      <c r="A30" s="6">
        <v>-3</v>
      </c>
      <c r="B30" s="6">
        <v>0</v>
      </c>
      <c r="C30" s="7">
        <f t="shared" si="0"/>
        <v>212.48565709695168</v>
      </c>
      <c r="D30" s="6">
        <f t="shared" si="1"/>
        <v>64.971314193903368</v>
      </c>
      <c r="E30" s="6">
        <f t="shared" si="2"/>
        <v>277.45697129085511</v>
      </c>
      <c r="F30" s="6">
        <v>0</v>
      </c>
      <c r="G30" s="6">
        <f t="shared" si="4"/>
        <v>213.75</v>
      </c>
      <c r="H30" s="6">
        <f t="shared" si="4"/>
        <v>67.5</v>
      </c>
      <c r="I30" s="6">
        <f t="shared" si="4"/>
        <v>275.625</v>
      </c>
      <c r="J30" s="6">
        <v>0</v>
      </c>
      <c r="K30" s="9"/>
      <c r="L30" s="9"/>
      <c r="M30" s="9"/>
    </row>
    <row r="31" spans="1:13">
      <c r="A31" s="6">
        <v>-2</v>
      </c>
      <c r="B31" s="6">
        <v>0</v>
      </c>
      <c r="C31" s="7">
        <f t="shared" si="0"/>
        <v>141.69307339604839</v>
      </c>
      <c r="D31" s="6">
        <f t="shared" si="1"/>
        <v>283.38614679209678</v>
      </c>
      <c r="E31" s="6">
        <f t="shared" si="2"/>
        <v>65.0792201881452</v>
      </c>
      <c r="F31" s="6">
        <v>0</v>
      </c>
      <c r="G31" s="6">
        <f t="shared" si="4"/>
        <v>140.625</v>
      </c>
      <c r="H31" s="6">
        <f t="shared" si="4"/>
        <v>281.25</v>
      </c>
      <c r="I31" s="6">
        <f t="shared" si="4"/>
        <v>67.5</v>
      </c>
      <c r="J31" s="6">
        <v>0</v>
      </c>
      <c r="K31" s="9"/>
      <c r="L31" s="9"/>
      <c r="M31" s="9"/>
    </row>
    <row r="32" spans="1:13">
      <c r="A32" s="6">
        <v>-1</v>
      </c>
      <c r="B32" s="6">
        <v>0</v>
      </c>
      <c r="C32" s="7">
        <f t="shared" si="0"/>
        <v>70.857328612377046</v>
      </c>
      <c r="D32" s="6">
        <f t="shared" si="1"/>
        <v>141.71465722475409</v>
      </c>
      <c r="E32" s="6">
        <f t="shared" si="2"/>
        <v>212.57198583713114</v>
      </c>
      <c r="F32" s="1">
        <v>0</v>
      </c>
      <c r="G32" s="6">
        <f t="shared" si="4"/>
        <v>73.125</v>
      </c>
      <c r="H32" s="6">
        <f t="shared" si="4"/>
        <v>140.625</v>
      </c>
      <c r="I32" s="6">
        <f t="shared" si="4"/>
        <v>213.75</v>
      </c>
      <c r="J32" s="1">
        <v>0</v>
      </c>
      <c r="K32" s="9"/>
      <c r="L32" s="9"/>
      <c r="M32" s="9"/>
    </row>
    <row r="33" spans="1:13">
      <c r="A33" s="6">
        <v>0</v>
      </c>
      <c r="B33" s="6">
        <v>0</v>
      </c>
      <c r="C33" s="7">
        <f t="shared" si="0"/>
        <v>0</v>
      </c>
      <c r="D33" s="6">
        <f t="shared" si="1"/>
        <v>0</v>
      </c>
      <c r="E33" s="6">
        <f t="shared" si="2"/>
        <v>0</v>
      </c>
      <c r="F33" s="6">
        <v>0</v>
      </c>
      <c r="G33" s="6">
        <f t="shared" si="4"/>
        <v>0</v>
      </c>
      <c r="H33" s="6">
        <f t="shared" si="4"/>
        <v>0</v>
      </c>
      <c r="I33" s="6">
        <f t="shared" si="4"/>
        <v>0</v>
      </c>
      <c r="J33" s="6">
        <v>0</v>
      </c>
      <c r="K33" s="9"/>
      <c r="L33" s="9"/>
      <c r="M33" s="9"/>
    </row>
    <row r="34" spans="1:13">
      <c r="A34" s="6">
        <v>1</v>
      </c>
      <c r="B34" s="6">
        <v>0</v>
      </c>
      <c r="C34" s="7">
        <f t="shared" si="0"/>
        <v>289.14267138762295</v>
      </c>
      <c r="D34" s="6">
        <f t="shared" si="1"/>
        <v>218.28534277524591</v>
      </c>
      <c r="E34" s="6">
        <f t="shared" si="2"/>
        <v>147.42801416286886</v>
      </c>
      <c r="F34" s="6">
        <v>0</v>
      </c>
      <c r="G34" s="6">
        <f t="shared" si="4"/>
        <v>286.875</v>
      </c>
      <c r="H34" s="6">
        <f t="shared" si="4"/>
        <v>219.375</v>
      </c>
      <c r="I34" s="6">
        <f t="shared" si="4"/>
        <v>146.25</v>
      </c>
      <c r="J34" s="6">
        <v>0</v>
      </c>
      <c r="K34" s="9"/>
      <c r="L34" s="9"/>
      <c r="M34" s="9"/>
    </row>
    <row r="35" spans="1:13">
      <c r="A35" s="6">
        <v>2</v>
      </c>
      <c r="B35" s="6">
        <v>0</v>
      </c>
      <c r="C35" s="7">
        <f t="shared" ref="C35:C63" si="5">MOD(-180*Freq*15.52*2*SIN(A35*PI()/180)/300,360)</f>
        <v>218.30692660395161</v>
      </c>
      <c r="D35" s="6">
        <f t="shared" ref="D35:D63" si="6">MOD(-180*Freq*2*15.52*2*SIN(A35*PI()/180)/300,360)</f>
        <v>76.613853207903219</v>
      </c>
      <c r="E35" s="6">
        <f t="shared" ref="E35:E63" si="7">MOD(-180*Freq*3*15.52*2*SIN(A35*PI()/180)/300,360)</f>
        <v>294.9207798118548</v>
      </c>
      <c r="F35" s="6">
        <v>0</v>
      </c>
      <c r="G35" s="6">
        <f t="shared" si="4"/>
        <v>219.375</v>
      </c>
      <c r="H35" s="6">
        <f t="shared" si="4"/>
        <v>78.75</v>
      </c>
      <c r="I35" s="6">
        <f t="shared" si="4"/>
        <v>292.5</v>
      </c>
      <c r="J35" s="6">
        <v>0</v>
      </c>
      <c r="K35" s="9"/>
      <c r="L35" s="9"/>
      <c r="M35" s="9"/>
    </row>
    <row r="36" spans="1:13">
      <c r="A36" s="6">
        <v>3</v>
      </c>
      <c r="B36" s="6">
        <v>0</v>
      </c>
      <c r="C36" s="7">
        <f t="shared" si="5"/>
        <v>147.51434290304832</v>
      </c>
      <c r="D36" s="6">
        <f t="shared" si="6"/>
        <v>295.02868580609663</v>
      </c>
      <c r="E36" s="6">
        <f t="shared" si="7"/>
        <v>82.543028709144892</v>
      </c>
      <c r="F36" s="6">
        <v>0</v>
      </c>
      <c r="G36" s="6">
        <f t="shared" si="4"/>
        <v>146.25</v>
      </c>
      <c r="H36" s="6">
        <f t="shared" si="4"/>
        <v>292.5</v>
      </c>
      <c r="I36" s="6">
        <f t="shared" si="4"/>
        <v>84.375</v>
      </c>
      <c r="J36" s="6">
        <v>0</v>
      </c>
      <c r="K36" s="9"/>
      <c r="L36" s="9"/>
      <c r="M36" s="9"/>
    </row>
    <row r="37" spans="1:13">
      <c r="A37" s="6">
        <v>4</v>
      </c>
      <c r="B37" s="6">
        <v>0</v>
      </c>
      <c r="C37" s="7">
        <f t="shared" si="5"/>
        <v>76.786484391691488</v>
      </c>
      <c r="D37" s="6">
        <f t="shared" si="6"/>
        <v>153.57296878338298</v>
      </c>
      <c r="E37" s="6">
        <f t="shared" si="7"/>
        <v>230.35945317507435</v>
      </c>
      <c r="F37" s="6">
        <v>0</v>
      </c>
      <c r="G37" s="6">
        <f t="shared" si="4"/>
        <v>78.75</v>
      </c>
      <c r="H37" s="6">
        <f t="shared" si="4"/>
        <v>151.875</v>
      </c>
      <c r="I37" s="6">
        <f t="shared" si="4"/>
        <v>230.625</v>
      </c>
      <c r="J37" s="6">
        <v>0</v>
      </c>
      <c r="K37" s="9"/>
      <c r="L37" s="9"/>
      <c r="M37" s="9"/>
    </row>
    <row r="38" spans="1:13">
      <c r="A38" s="6">
        <v>5</v>
      </c>
      <c r="B38" s="6">
        <v>0</v>
      </c>
      <c r="C38" s="7">
        <f t="shared" si="5"/>
        <v>6.1448954607399742</v>
      </c>
      <c r="D38" s="6">
        <f t="shared" si="6"/>
        <v>12.289790921479948</v>
      </c>
      <c r="E38" s="6">
        <f t="shared" si="7"/>
        <v>18.434686382219752</v>
      </c>
      <c r="F38" s="6">
        <v>0</v>
      </c>
      <c r="G38" s="6">
        <f t="shared" si="4"/>
        <v>5.625</v>
      </c>
      <c r="H38" s="6">
        <f t="shared" si="4"/>
        <v>11.25</v>
      </c>
      <c r="I38" s="6">
        <f t="shared" si="4"/>
        <v>16.875</v>
      </c>
      <c r="J38" s="6">
        <v>0</v>
      </c>
      <c r="K38" s="9"/>
      <c r="L38" s="9"/>
      <c r="M38" s="9"/>
    </row>
    <row r="39" spans="1:13">
      <c r="A39" s="6">
        <v>6</v>
      </c>
      <c r="B39" s="6">
        <v>0</v>
      </c>
      <c r="C39" s="7">
        <f t="shared" si="5"/>
        <v>295.61109422250246</v>
      </c>
      <c r="D39" s="6">
        <f t="shared" si="6"/>
        <v>231.22218844500492</v>
      </c>
      <c r="E39" s="6">
        <f t="shared" si="7"/>
        <v>166.83328266750732</v>
      </c>
      <c r="F39" s="6">
        <v>0</v>
      </c>
      <c r="G39" s="6">
        <f t="shared" si="4"/>
        <v>298.125</v>
      </c>
      <c r="H39" s="6">
        <f t="shared" si="4"/>
        <v>230.625</v>
      </c>
      <c r="I39" s="6">
        <f t="shared" si="4"/>
        <v>168.75</v>
      </c>
      <c r="J39" s="6">
        <v>0</v>
      </c>
      <c r="K39" s="10"/>
      <c r="L39" s="11"/>
      <c r="M39" s="9"/>
    </row>
    <row r="40" spans="1:13">
      <c r="A40" s="6">
        <v>7</v>
      </c>
      <c r="B40" s="6">
        <v>0</v>
      </c>
      <c r="C40" s="7">
        <f t="shared" si="5"/>
        <v>225.20656595611234</v>
      </c>
      <c r="D40" s="6">
        <f t="shared" si="6"/>
        <v>90.413131912224685</v>
      </c>
      <c r="E40" s="6">
        <f t="shared" si="7"/>
        <v>315.61969786833697</v>
      </c>
      <c r="F40" s="6">
        <v>0</v>
      </c>
      <c r="G40" s="6">
        <f t="shared" si="4"/>
        <v>225</v>
      </c>
      <c r="H40" s="6">
        <f t="shared" si="4"/>
        <v>90</v>
      </c>
      <c r="I40" s="6">
        <f t="shared" si="4"/>
        <v>315</v>
      </c>
      <c r="J40" s="6">
        <v>0</v>
      </c>
      <c r="K40" s="9"/>
      <c r="L40" s="9"/>
      <c r="M40" s="9"/>
    </row>
    <row r="41" spans="1:13">
      <c r="A41" s="6">
        <v>8</v>
      </c>
      <c r="B41" s="6">
        <v>0</v>
      </c>
      <c r="C41" s="7">
        <f t="shared" si="5"/>
        <v>154.95275656290357</v>
      </c>
      <c r="D41" s="6">
        <f t="shared" si="6"/>
        <v>309.90551312580715</v>
      </c>
      <c r="E41" s="6">
        <f t="shared" si="7"/>
        <v>104.85826968871106</v>
      </c>
      <c r="F41" s="6">
        <v>0</v>
      </c>
      <c r="G41" s="6">
        <f t="shared" si="4"/>
        <v>157.5</v>
      </c>
      <c r="H41" s="6">
        <f t="shared" si="4"/>
        <v>309.375</v>
      </c>
      <c r="I41" s="6">
        <f t="shared" si="4"/>
        <v>106.875</v>
      </c>
      <c r="J41" s="6">
        <v>0</v>
      </c>
      <c r="K41" s="9"/>
      <c r="L41" s="9"/>
      <c r="M41" s="9"/>
    </row>
    <row r="42" spans="1:13">
      <c r="A42" s="6">
        <v>9</v>
      </c>
      <c r="B42" s="6">
        <v>0</v>
      </c>
      <c r="C42" s="7">
        <f t="shared" si="5"/>
        <v>84.871066033781517</v>
      </c>
      <c r="D42" s="6">
        <f t="shared" si="6"/>
        <v>169.74213206756303</v>
      </c>
      <c r="E42" s="6">
        <f t="shared" si="7"/>
        <v>254.61319810134432</v>
      </c>
      <c r="F42" s="6">
        <v>0</v>
      </c>
      <c r="G42" s="6">
        <f t="shared" si="4"/>
        <v>84.375</v>
      </c>
      <c r="H42" s="6">
        <f t="shared" si="4"/>
        <v>168.75</v>
      </c>
      <c r="I42" s="6">
        <f t="shared" si="4"/>
        <v>253.125</v>
      </c>
      <c r="J42" s="6">
        <v>0</v>
      </c>
      <c r="K42" s="9"/>
      <c r="L42" s="9"/>
      <c r="M42" s="9"/>
    </row>
    <row r="43" spans="1:13">
      <c r="A43" s="6">
        <v>10</v>
      </c>
      <c r="B43" s="6">
        <v>0</v>
      </c>
      <c r="C43" s="7">
        <f t="shared" si="5"/>
        <v>14.982841930577592</v>
      </c>
      <c r="D43" s="6">
        <f t="shared" si="6"/>
        <v>29.965683861155185</v>
      </c>
      <c r="E43" s="6">
        <f t="shared" si="7"/>
        <v>44.948525791732663</v>
      </c>
      <c r="F43" s="6">
        <v>0</v>
      </c>
      <c r="G43" s="6">
        <f t="shared" si="4"/>
        <v>16.875</v>
      </c>
      <c r="H43" s="6">
        <f t="shared" si="4"/>
        <v>28.125</v>
      </c>
      <c r="I43" s="6">
        <f t="shared" si="4"/>
        <v>45</v>
      </c>
      <c r="J43" s="6">
        <v>0</v>
      </c>
      <c r="K43" s="9"/>
      <c r="L43" s="9"/>
      <c r="M43" s="9"/>
    </row>
    <row r="44" spans="1:13">
      <c r="A44" s="6">
        <v>11</v>
      </c>
      <c r="B44" s="6">
        <v>0</v>
      </c>
      <c r="C44" s="7">
        <f t="shared" si="5"/>
        <v>305.30937288337611</v>
      </c>
      <c r="D44" s="6">
        <f t="shared" si="6"/>
        <v>250.61874576675223</v>
      </c>
      <c r="E44" s="6">
        <f t="shared" si="7"/>
        <v>195.928118650128</v>
      </c>
      <c r="F44" s="6">
        <v>0</v>
      </c>
      <c r="G44" s="6">
        <f t="shared" si="4"/>
        <v>303.75</v>
      </c>
      <c r="H44" s="6">
        <f t="shared" si="4"/>
        <v>253.125</v>
      </c>
      <c r="I44" s="6">
        <f t="shared" si="4"/>
        <v>196.875</v>
      </c>
      <c r="J44" s="6">
        <v>0</v>
      </c>
      <c r="K44" s="9"/>
      <c r="L44" s="9"/>
      <c r="M44" s="9"/>
    </row>
    <row r="45" spans="1:13">
      <c r="A45" s="6">
        <v>12</v>
      </c>
      <c r="B45" s="6">
        <v>0</v>
      </c>
      <c r="C45" s="7">
        <f t="shared" si="5"/>
        <v>235.87188210579109</v>
      </c>
      <c r="D45" s="6">
        <f t="shared" si="6"/>
        <v>111.74376421158217</v>
      </c>
      <c r="E45" s="6">
        <f t="shared" si="7"/>
        <v>347.61564631737292</v>
      </c>
      <c r="F45" s="6">
        <v>0</v>
      </c>
      <c r="G45" s="6">
        <f t="shared" si="4"/>
        <v>236.25</v>
      </c>
      <c r="H45" s="6">
        <f t="shared" si="4"/>
        <v>112.5</v>
      </c>
      <c r="I45" s="6">
        <f t="shared" si="4"/>
        <v>348.75</v>
      </c>
      <c r="J45" s="6">
        <v>0</v>
      </c>
      <c r="K45" s="10"/>
      <c r="L45" s="11"/>
      <c r="M45" s="9"/>
    </row>
    <row r="46" spans="1:13">
      <c r="A46" s="6">
        <v>13</v>
      </c>
      <c r="B46" s="6">
        <v>0</v>
      </c>
      <c r="C46" s="7">
        <f t="shared" si="5"/>
        <v>166.69152093016908</v>
      </c>
      <c r="D46" s="6">
        <f t="shared" si="6"/>
        <v>333.38304186033815</v>
      </c>
      <c r="E46" s="6">
        <f t="shared" si="7"/>
        <v>140.07456279050757</v>
      </c>
      <c r="F46" s="6">
        <v>0</v>
      </c>
      <c r="G46" s="6">
        <f t="shared" si="4"/>
        <v>168.75</v>
      </c>
      <c r="H46" s="6">
        <f t="shared" si="4"/>
        <v>331.875</v>
      </c>
      <c r="I46" s="6">
        <f t="shared" si="4"/>
        <v>140.625</v>
      </c>
      <c r="J46" s="6">
        <v>0</v>
      </c>
      <c r="K46" s="9"/>
      <c r="L46" s="9"/>
      <c r="M46" s="9"/>
    </row>
    <row r="47" spans="1:13">
      <c r="A47" s="6">
        <v>14</v>
      </c>
      <c r="B47" s="6">
        <v>0</v>
      </c>
      <c r="C47" s="7">
        <f t="shared" si="5"/>
        <v>97.789362364689964</v>
      </c>
      <c r="D47" s="6">
        <f t="shared" si="6"/>
        <v>195.57872472937993</v>
      </c>
      <c r="E47" s="6">
        <f t="shared" si="7"/>
        <v>293.36808709406932</v>
      </c>
      <c r="F47" s="6">
        <v>0</v>
      </c>
      <c r="G47" s="6">
        <f t="shared" si="4"/>
        <v>95.625</v>
      </c>
      <c r="H47" s="6">
        <f t="shared" si="4"/>
        <v>196.875</v>
      </c>
      <c r="I47" s="6">
        <f t="shared" si="4"/>
        <v>292.5</v>
      </c>
      <c r="J47" s="6">
        <v>0</v>
      </c>
      <c r="K47" s="9"/>
      <c r="L47" s="9"/>
      <c r="M47" s="9"/>
    </row>
    <row r="48" spans="1:13">
      <c r="A48" s="6">
        <v>15</v>
      </c>
      <c r="B48" s="6">
        <v>0</v>
      </c>
      <c r="C48" s="7">
        <f t="shared" si="5"/>
        <v>29.186394674322628</v>
      </c>
      <c r="D48" s="6">
        <f t="shared" si="6"/>
        <v>58.372789348645256</v>
      </c>
      <c r="E48" s="6">
        <f t="shared" si="7"/>
        <v>87.559184022967656</v>
      </c>
      <c r="F48" s="6">
        <v>0</v>
      </c>
      <c r="G48" s="6">
        <f t="shared" si="4"/>
        <v>28.125</v>
      </c>
      <c r="H48" s="6">
        <f t="shared" si="4"/>
        <v>56.25</v>
      </c>
      <c r="I48" s="6">
        <f t="shared" si="4"/>
        <v>90</v>
      </c>
      <c r="J48" s="6">
        <v>0</v>
      </c>
      <c r="K48" s="9"/>
      <c r="L48" s="9"/>
      <c r="M48" s="9"/>
    </row>
    <row r="49" spans="1:13">
      <c r="A49" s="6">
        <v>16</v>
      </c>
      <c r="B49" s="6">
        <v>0</v>
      </c>
      <c r="C49" s="7">
        <f t="shared" si="5"/>
        <v>320.90351498759742</v>
      </c>
      <c r="D49" s="6">
        <f t="shared" si="6"/>
        <v>281.80702997519484</v>
      </c>
      <c r="E49" s="6">
        <f t="shared" si="7"/>
        <v>242.71054496279203</v>
      </c>
      <c r="F49" s="6">
        <v>0</v>
      </c>
      <c r="G49" s="6">
        <f t="shared" si="4"/>
        <v>320.625</v>
      </c>
      <c r="H49" s="6">
        <f t="shared" si="4"/>
        <v>281.25</v>
      </c>
      <c r="I49" s="6">
        <f t="shared" si="4"/>
        <v>241.875</v>
      </c>
      <c r="J49" s="6">
        <v>0</v>
      </c>
      <c r="K49" s="9"/>
      <c r="L49" s="9"/>
      <c r="M49" s="9"/>
    </row>
    <row r="50" spans="1:13">
      <c r="A50" s="6">
        <v>17</v>
      </c>
      <c r="B50" s="6">
        <v>0</v>
      </c>
      <c r="C50" s="7">
        <f t="shared" si="5"/>
        <v>252.96152293113778</v>
      </c>
      <c r="D50" s="6">
        <f t="shared" si="6"/>
        <v>145.92304586227556</v>
      </c>
      <c r="E50" s="6">
        <f t="shared" si="7"/>
        <v>38.884568793412654</v>
      </c>
      <c r="F50" s="6">
        <v>0</v>
      </c>
      <c r="G50" s="6">
        <f t="shared" si="4"/>
        <v>253.125</v>
      </c>
      <c r="H50" s="6">
        <f t="shared" si="4"/>
        <v>146.25</v>
      </c>
      <c r="I50" s="6">
        <f t="shared" si="4"/>
        <v>39.375</v>
      </c>
      <c r="J50" s="6">
        <v>0</v>
      </c>
      <c r="K50" s="9"/>
      <c r="L50" s="9"/>
      <c r="M50" s="9"/>
    </row>
    <row r="51" spans="1:13">
      <c r="A51" s="6">
        <v>18</v>
      </c>
      <c r="B51" s="6">
        <v>0</v>
      </c>
      <c r="C51" s="7">
        <f t="shared" si="5"/>
        <v>185.38111429389369</v>
      </c>
      <c r="D51" s="6">
        <f t="shared" si="6"/>
        <v>10.762228587787376</v>
      </c>
      <c r="E51" s="6">
        <f t="shared" si="7"/>
        <v>196.14334288168084</v>
      </c>
      <c r="F51" s="6">
        <v>0</v>
      </c>
      <c r="G51" s="6">
        <f t="shared" si="4"/>
        <v>185.625</v>
      </c>
      <c r="H51" s="6">
        <f t="shared" si="4"/>
        <v>11.25</v>
      </c>
      <c r="I51" s="6">
        <f t="shared" si="4"/>
        <v>196.875</v>
      </c>
      <c r="J51" s="6">
        <v>0</v>
      </c>
      <c r="K51" s="9"/>
      <c r="L51" s="9"/>
      <c r="M51" s="9"/>
    </row>
    <row r="52" spans="1:13">
      <c r="A52" s="6">
        <v>19</v>
      </c>
      <c r="B52" s="6">
        <v>0</v>
      </c>
      <c r="C52" s="7">
        <f t="shared" si="5"/>
        <v>118.18287472300153</v>
      </c>
      <c r="D52" s="6">
        <f t="shared" si="6"/>
        <v>236.36574944600306</v>
      </c>
      <c r="E52" s="6">
        <f t="shared" si="7"/>
        <v>354.5486241690046</v>
      </c>
      <c r="F52" s="6">
        <v>0</v>
      </c>
      <c r="G52" s="6">
        <f t="shared" si="4"/>
        <v>118.125</v>
      </c>
      <c r="H52" s="6">
        <f t="shared" si="4"/>
        <v>236.25</v>
      </c>
      <c r="I52" s="6">
        <f t="shared" si="4"/>
        <v>354.375</v>
      </c>
      <c r="J52" s="6">
        <v>0</v>
      </c>
      <c r="K52" s="9"/>
      <c r="L52" s="9"/>
      <c r="M52" s="9"/>
    </row>
    <row r="53" spans="1:13">
      <c r="A53" s="6">
        <v>20</v>
      </c>
      <c r="B53" s="6">
        <v>0</v>
      </c>
      <c r="C53" s="7">
        <f t="shared" si="5"/>
        <v>51.387273453198759</v>
      </c>
      <c r="D53" s="6">
        <f t="shared" si="6"/>
        <v>102.77454690639752</v>
      </c>
      <c r="E53" s="6">
        <f t="shared" si="7"/>
        <v>154.16182035959628</v>
      </c>
      <c r="F53" s="6">
        <v>0</v>
      </c>
      <c r="G53" s="6">
        <f t="shared" si="4"/>
        <v>50.625</v>
      </c>
      <c r="H53" s="6">
        <f t="shared" si="4"/>
        <v>101.25</v>
      </c>
      <c r="I53" s="6">
        <f t="shared" si="4"/>
        <v>151.875</v>
      </c>
      <c r="J53" s="6">
        <v>0</v>
      </c>
      <c r="K53" s="9"/>
      <c r="L53" s="9"/>
      <c r="M53" s="9"/>
    </row>
    <row r="54" spans="1:13">
      <c r="A54" s="6">
        <v>21</v>
      </c>
      <c r="B54" s="6">
        <v>0</v>
      </c>
      <c r="C54" s="7">
        <f t="shared" si="5"/>
        <v>345.01465707169564</v>
      </c>
      <c r="D54" s="6">
        <f t="shared" si="6"/>
        <v>330.02931414339128</v>
      </c>
      <c r="E54" s="6">
        <f t="shared" si="7"/>
        <v>315.04397121508646</v>
      </c>
      <c r="F54" s="6">
        <v>0</v>
      </c>
      <c r="G54" s="6">
        <f t="shared" si="4"/>
        <v>343.125</v>
      </c>
      <c r="H54" s="6">
        <f t="shared" si="4"/>
        <v>331.875</v>
      </c>
      <c r="I54" s="6">
        <f t="shared" si="4"/>
        <v>315</v>
      </c>
      <c r="J54" s="6">
        <v>0</v>
      </c>
      <c r="K54" s="9"/>
      <c r="L54" s="9"/>
      <c r="M54" s="9"/>
    </row>
    <row r="55" spans="1:13">
      <c r="A55" s="6">
        <v>22</v>
      </c>
      <c r="B55" s="6">
        <v>0</v>
      </c>
      <c r="C55" s="7">
        <f t="shared" si="5"/>
        <v>279.08524332040815</v>
      </c>
      <c r="D55" s="6">
        <f t="shared" si="6"/>
        <v>198.17048664081631</v>
      </c>
      <c r="E55" s="6">
        <f t="shared" si="7"/>
        <v>117.25572996122355</v>
      </c>
      <c r="F55" s="6">
        <v>0</v>
      </c>
      <c r="G55" s="6">
        <f t="shared" si="4"/>
        <v>281.25</v>
      </c>
      <c r="H55" s="6">
        <f t="shared" si="4"/>
        <v>196.875</v>
      </c>
      <c r="I55" s="6">
        <f t="shared" si="4"/>
        <v>118.125</v>
      </c>
      <c r="J55" s="6">
        <v>0</v>
      </c>
      <c r="K55" s="9"/>
      <c r="L55" s="9"/>
      <c r="M55" s="9"/>
    </row>
    <row r="56" spans="1:13">
      <c r="A56" s="6">
        <v>23</v>
      </c>
      <c r="B56" s="6">
        <v>0</v>
      </c>
      <c r="C56" s="7">
        <f t="shared" si="5"/>
        <v>213.61911493743742</v>
      </c>
      <c r="D56" s="6">
        <f t="shared" si="6"/>
        <v>67.238229874874833</v>
      </c>
      <c r="E56" s="6">
        <f t="shared" si="7"/>
        <v>280.85734481231157</v>
      </c>
      <c r="F56" s="6">
        <v>0</v>
      </c>
      <c r="G56" s="6">
        <f t="shared" si="4"/>
        <v>213.75</v>
      </c>
      <c r="H56" s="6">
        <f t="shared" si="4"/>
        <v>67.5</v>
      </c>
      <c r="I56" s="6">
        <f t="shared" si="4"/>
        <v>281.25</v>
      </c>
      <c r="J56" s="6">
        <v>0</v>
      </c>
      <c r="K56" s="9"/>
      <c r="L56" s="9"/>
      <c r="M56" s="9"/>
    </row>
    <row r="57" spans="1:13">
      <c r="A57" s="6">
        <v>24</v>
      </c>
      <c r="B57" s="6">
        <v>0</v>
      </c>
      <c r="C57" s="7">
        <f t="shared" si="5"/>
        <v>148.63621353967301</v>
      </c>
      <c r="D57" s="6">
        <f t="shared" si="6"/>
        <v>297.27242707934602</v>
      </c>
      <c r="E57" s="6">
        <f t="shared" si="7"/>
        <v>85.908640619019025</v>
      </c>
      <c r="F57" s="6">
        <v>0</v>
      </c>
      <c r="G57" s="6">
        <f t="shared" si="4"/>
        <v>146.25</v>
      </c>
      <c r="H57" s="6">
        <f t="shared" si="4"/>
        <v>298.125</v>
      </c>
      <c r="I57" s="6">
        <f t="shared" si="4"/>
        <v>84.375</v>
      </c>
      <c r="J57" s="6">
        <v>0</v>
      </c>
      <c r="K57" s="9"/>
      <c r="L57" s="9"/>
      <c r="M57" s="9"/>
    </row>
    <row r="58" spans="1:13">
      <c r="A58" s="6">
        <v>25</v>
      </c>
      <c r="B58" s="6">
        <v>0</v>
      </c>
      <c r="C58" s="7">
        <f t="shared" si="5"/>
        <v>84.156333548384737</v>
      </c>
      <c r="D58" s="6">
        <f t="shared" si="6"/>
        <v>168.31266709676947</v>
      </c>
      <c r="E58" s="6">
        <f t="shared" si="7"/>
        <v>252.46900064515376</v>
      </c>
      <c r="F58" s="6">
        <v>0</v>
      </c>
      <c r="G58" s="6">
        <f t="shared" si="4"/>
        <v>84.375</v>
      </c>
      <c r="H58" s="6">
        <f t="shared" si="4"/>
        <v>168.75</v>
      </c>
      <c r="I58" s="6">
        <f t="shared" si="4"/>
        <v>253.125</v>
      </c>
      <c r="J58" s="6">
        <v>0</v>
      </c>
      <c r="K58" s="9"/>
      <c r="L58" s="9"/>
      <c r="M58" s="9"/>
    </row>
    <row r="59" spans="1:13">
      <c r="A59" s="6">
        <v>26</v>
      </c>
      <c r="B59" s="6">
        <v>0</v>
      </c>
      <c r="C59" s="7">
        <f t="shared" si="5"/>
        <v>20.199116159648838</v>
      </c>
      <c r="D59" s="6">
        <f t="shared" si="6"/>
        <v>40.398232319297676</v>
      </c>
      <c r="E59" s="6">
        <f t="shared" si="7"/>
        <v>60.597348478945605</v>
      </c>
      <c r="F59" s="6">
        <v>0</v>
      </c>
      <c r="G59" s="6">
        <f t="shared" si="4"/>
        <v>22.5</v>
      </c>
      <c r="H59" s="6">
        <f t="shared" si="4"/>
        <v>39.375</v>
      </c>
      <c r="I59" s="6">
        <f t="shared" si="4"/>
        <v>61.875</v>
      </c>
      <c r="J59" s="6">
        <v>0</v>
      </c>
      <c r="K59" s="9"/>
      <c r="L59" s="9"/>
      <c r="M59" s="9"/>
    </row>
    <row r="60" spans="1:13">
      <c r="A60" s="6">
        <v>27</v>
      </c>
      <c r="B60" s="6">
        <v>0</v>
      </c>
      <c r="C60" s="7">
        <f t="shared" si="5"/>
        <v>316.78404336144877</v>
      </c>
      <c r="D60" s="6">
        <f t="shared" si="6"/>
        <v>273.56808672289753</v>
      </c>
      <c r="E60" s="6">
        <f t="shared" si="7"/>
        <v>230.35213008434584</v>
      </c>
      <c r="F60" s="6">
        <v>0</v>
      </c>
      <c r="G60" s="6">
        <f t="shared" si="4"/>
        <v>315</v>
      </c>
      <c r="H60" s="6">
        <f t="shared" si="4"/>
        <v>275.625</v>
      </c>
      <c r="I60" s="6">
        <f t="shared" si="4"/>
        <v>230.625</v>
      </c>
      <c r="J60" s="6">
        <v>0</v>
      </c>
      <c r="K60" s="9"/>
      <c r="L60" s="9"/>
      <c r="M60" s="9"/>
    </row>
    <row r="61" spans="1:13">
      <c r="A61" s="6">
        <v>28</v>
      </c>
      <c r="B61" s="6">
        <v>0</v>
      </c>
      <c r="C61" s="7">
        <f t="shared" si="5"/>
        <v>253.93043199927433</v>
      </c>
      <c r="D61" s="6">
        <f t="shared" si="6"/>
        <v>147.86086399854867</v>
      </c>
      <c r="E61" s="6">
        <f t="shared" si="7"/>
        <v>41.79129599782209</v>
      </c>
      <c r="F61" s="6">
        <v>0</v>
      </c>
      <c r="G61" s="6">
        <f t="shared" si="4"/>
        <v>253.125</v>
      </c>
      <c r="H61" s="6">
        <f t="shared" si="4"/>
        <v>146.25</v>
      </c>
      <c r="I61" s="6">
        <f t="shared" si="4"/>
        <v>39.375</v>
      </c>
      <c r="J61" s="6">
        <v>0</v>
      </c>
      <c r="K61" s="9"/>
      <c r="L61" s="9"/>
      <c r="M61" s="9"/>
    </row>
    <row r="62" spans="1:13">
      <c r="A62" s="6">
        <v>29</v>
      </c>
      <c r="B62" s="6">
        <v>0</v>
      </c>
      <c r="C62" s="7">
        <f t="shared" si="5"/>
        <v>191.65742789202363</v>
      </c>
      <c r="D62" s="6">
        <f t="shared" si="6"/>
        <v>23.314855784047268</v>
      </c>
      <c r="E62" s="6">
        <f t="shared" si="7"/>
        <v>214.97228367607113</v>
      </c>
      <c r="F62" s="6">
        <v>0</v>
      </c>
      <c r="G62" s="6">
        <f t="shared" si="4"/>
        <v>191.25</v>
      </c>
      <c r="H62" s="6">
        <f t="shared" si="4"/>
        <v>22.5</v>
      </c>
      <c r="I62" s="6">
        <f t="shared" si="4"/>
        <v>213.75</v>
      </c>
      <c r="J62" s="6">
        <v>0</v>
      </c>
      <c r="K62" s="9"/>
      <c r="L62" s="9"/>
      <c r="M62" s="9"/>
    </row>
    <row r="63" spans="1:13">
      <c r="A63" s="6">
        <v>30</v>
      </c>
      <c r="B63" s="6">
        <v>0</v>
      </c>
      <c r="C63" s="7">
        <f t="shared" si="5"/>
        <v>129.98400000000061</v>
      </c>
      <c r="D63" s="6">
        <f t="shared" si="6"/>
        <v>259.96800000000121</v>
      </c>
      <c r="E63" s="6">
        <f t="shared" si="7"/>
        <v>29.952000000001135</v>
      </c>
      <c r="F63" s="6">
        <v>0</v>
      </c>
      <c r="G63" s="6">
        <f t="shared" si="4"/>
        <v>129.375</v>
      </c>
      <c r="H63" s="6">
        <f t="shared" si="4"/>
        <v>258.75</v>
      </c>
      <c r="I63" s="6">
        <f t="shared" si="4"/>
        <v>28.125</v>
      </c>
      <c r="J63" s="6">
        <v>0</v>
      </c>
      <c r="K63" s="9"/>
      <c r="L63" s="9"/>
      <c r="M63" s="9"/>
    </row>
  </sheetData>
  <mergeCells count="3">
    <mergeCell ref="C1:E1"/>
    <mergeCell ref="G1:I1"/>
    <mergeCell ref="K1:M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D6C3-97B2-4A45-8DE2-8F955E872C5F}">
  <dimension ref="A1:M63"/>
  <sheetViews>
    <sheetView workbookViewId="0">
      <pane ySplit="2" topLeftCell="A3" activePane="bottomLeft" state="frozen"/>
      <selection pane="bottomLeft" activeCell="L16" sqref="L16"/>
    </sheetView>
  </sheetViews>
  <sheetFormatPr defaultRowHeight="14"/>
  <sheetData>
    <row r="1" spans="1:13" ht="15.5">
      <c r="A1" s="5" t="s">
        <v>5</v>
      </c>
      <c r="B1" s="5">
        <v>221</v>
      </c>
      <c r="C1" s="12" t="s">
        <v>6</v>
      </c>
      <c r="D1" s="12"/>
      <c r="E1" s="12"/>
      <c r="F1" s="1"/>
      <c r="G1" s="12" t="s">
        <v>7</v>
      </c>
      <c r="H1" s="12"/>
      <c r="I1" s="12"/>
      <c r="K1" s="12" t="s">
        <v>12</v>
      </c>
      <c r="L1" s="12"/>
      <c r="M1" s="12"/>
    </row>
    <row r="2" spans="1:13" ht="15.5">
      <c r="A2" s="5" t="s">
        <v>4</v>
      </c>
      <c r="B2" s="4" t="s">
        <v>13</v>
      </c>
      <c r="C2" s="4" t="s">
        <v>14</v>
      </c>
      <c r="D2" s="4" t="s">
        <v>15</v>
      </c>
      <c r="E2" s="4" t="s">
        <v>16</v>
      </c>
      <c r="F2" s="2" t="s">
        <v>8</v>
      </c>
      <c r="G2" s="4" t="s">
        <v>9</v>
      </c>
      <c r="H2" s="4" t="s">
        <v>10</v>
      </c>
      <c r="I2" s="4" t="s">
        <v>11</v>
      </c>
      <c r="J2" s="2" t="s">
        <v>0</v>
      </c>
      <c r="K2" s="4" t="s">
        <v>1</v>
      </c>
      <c r="L2" s="4" t="s">
        <v>2</v>
      </c>
      <c r="M2" s="4" t="s">
        <v>3</v>
      </c>
    </row>
    <row r="3" spans="1:13">
      <c r="A3" s="6">
        <v>-30</v>
      </c>
      <c r="B3" s="6">
        <v>0</v>
      </c>
      <c r="C3" s="7">
        <f t="shared" ref="C3:C34" si="0">MOD(-180*Freq*15.52*2*SIN(A3*PI()/180)/300,360)</f>
        <v>257.95199999999932</v>
      </c>
      <c r="D3" s="6">
        <f t="shared" ref="D3:D34" si="1">MOD(-180*Freq*2*15.52*2*SIN(A3*PI()/180)/300,360)</f>
        <v>155.90399999999863</v>
      </c>
      <c r="E3" s="6">
        <f t="shared" ref="E3:E34" si="2">MOD(-180*Freq*3*15.52*2*SIN(A3*PI()/180)/300,360)</f>
        <v>53.855999999999767</v>
      </c>
      <c r="F3" s="6">
        <v>0</v>
      </c>
      <c r="G3" s="6">
        <f>MOD(ROUND(C3/5.625,0)*5.625,360)</f>
        <v>258.75</v>
      </c>
      <c r="H3" s="6">
        <f t="shared" ref="H3:I18" si="3">MOD(ROUND(D3/5.625,0)*5.625,360)</f>
        <v>157.5</v>
      </c>
      <c r="I3" s="6">
        <f t="shared" si="3"/>
        <v>56.25</v>
      </c>
      <c r="J3" s="6">
        <v>0</v>
      </c>
      <c r="K3" s="9"/>
      <c r="L3" s="9"/>
      <c r="M3" s="9"/>
    </row>
    <row r="4" spans="1:13">
      <c r="A4" s="6">
        <v>-29</v>
      </c>
      <c r="B4" s="6">
        <v>0</v>
      </c>
      <c r="C4" s="7">
        <f t="shared" si="0"/>
        <v>195.4298552103794</v>
      </c>
      <c r="D4" s="6">
        <f t="shared" si="1"/>
        <v>30.859710420758802</v>
      </c>
      <c r="E4" s="6">
        <f t="shared" si="2"/>
        <v>226.28956563113934</v>
      </c>
      <c r="F4" s="6">
        <v>0</v>
      </c>
      <c r="G4" s="6">
        <f t="shared" ref="G4:I63" si="4">MOD(ROUND(C4/5.625,0)*5.625,360)</f>
        <v>196.875</v>
      </c>
      <c r="H4" s="6">
        <f t="shared" si="3"/>
        <v>28.125</v>
      </c>
      <c r="I4" s="6">
        <f t="shared" si="3"/>
        <v>225</v>
      </c>
      <c r="J4" s="6">
        <v>0</v>
      </c>
      <c r="K4" s="9"/>
      <c r="L4" s="9"/>
      <c r="M4" s="9"/>
    </row>
    <row r="5" spans="1:13">
      <c r="A5" s="6">
        <v>-28</v>
      </c>
      <c r="B5" s="6">
        <v>0</v>
      </c>
      <c r="C5" s="7">
        <f t="shared" si="0"/>
        <v>132.29988315669902</v>
      </c>
      <c r="D5" s="6">
        <f t="shared" si="1"/>
        <v>264.59976631339805</v>
      </c>
      <c r="E5" s="6">
        <f t="shared" si="2"/>
        <v>36.899649470097756</v>
      </c>
      <c r="F5" s="6">
        <v>0</v>
      </c>
      <c r="G5" s="6">
        <f t="shared" si="4"/>
        <v>135</v>
      </c>
      <c r="H5" s="6">
        <f t="shared" si="3"/>
        <v>264.375</v>
      </c>
      <c r="I5" s="6">
        <f t="shared" si="3"/>
        <v>39.375</v>
      </c>
      <c r="J5" s="6">
        <v>0</v>
      </c>
      <c r="K5" s="9"/>
      <c r="L5" s="9"/>
      <c r="M5" s="9"/>
    </row>
    <row r="6" spans="1:13">
      <c r="A6" s="6">
        <v>-27</v>
      </c>
      <c r="B6" s="6">
        <v>0</v>
      </c>
      <c r="C6" s="7">
        <f t="shared" si="0"/>
        <v>68.581313839999439</v>
      </c>
      <c r="D6" s="6">
        <f t="shared" si="1"/>
        <v>137.16262767999888</v>
      </c>
      <c r="E6" s="6">
        <f t="shared" si="2"/>
        <v>205.74394151999877</v>
      </c>
      <c r="F6" s="6">
        <v>0</v>
      </c>
      <c r="G6" s="6">
        <f t="shared" si="4"/>
        <v>67.5</v>
      </c>
      <c r="H6" s="6">
        <f t="shared" si="3"/>
        <v>135</v>
      </c>
      <c r="I6" s="6">
        <f t="shared" si="3"/>
        <v>208.125</v>
      </c>
      <c r="J6" s="6">
        <v>0</v>
      </c>
      <c r="K6" s="9"/>
      <c r="L6" s="9"/>
      <c r="M6" s="9"/>
    </row>
    <row r="7" spans="1:13">
      <c r="A7" s="6">
        <v>-26</v>
      </c>
      <c r="B7" s="6">
        <v>0</v>
      </c>
      <c r="C7" s="7">
        <f t="shared" si="0"/>
        <v>4.2935565537509319</v>
      </c>
      <c r="D7" s="6">
        <f t="shared" si="1"/>
        <v>8.5871131075018639</v>
      </c>
      <c r="E7" s="6">
        <f t="shared" si="2"/>
        <v>12.880669661252796</v>
      </c>
      <c r="F7" s="6">
        <v>0</v>
      </c>
      <c r="G7" s="6">
        <f t="shared" si="4"/>
        <v>5.625</v>
      </c>
      <c r="H7" s="6">
        <f t="shared" si="3"/>
        <v>11.25</v>
      </c>
      <c r="I7" s="6">
        <f t="shared" si="3"/>
        <v>11.25</v>
      </c>
      <c r="J7" s="6">
        <v>0</v>
      </c>
      <c r="K7" s="9"/>
      <c r="L7" s="9"/>
      <c r="M7" s="9"/>
    </row>
    <row r="8" spans="1:13">
      <c r="A8" s="6">
        <v>-25</v>
      </c>
      <c r="B8" s="6">
        <v>0</v>
      </c>
      <c r="C8" s="7">
        <f t="shared" si="0"/>
        <v>299.4561939715918</v>
      </c>
      <c r="D8" s="6">
        <f t="shared" si="1"/>
        <v>238.9123879431836</v>
      </c>
      <c r="E8" s="6">
        <f t="shared" si="2"/>
        <v>178.36858191477495</v>
      </c>
      <c r="F8" s="6">
        <v>0</v>
      </c>
      <c r="G8" s="6">
        <f t="shared" si="4"/>
        <v>298.125</v>
      </c>
      <c r="H8" s="6">
        <f t="shared" si="3"/>
        <v>236.25</v>
      </c>
      <c r="I8" s="6">
        <f t="shared" si="3"/>
        <v>180</v>
      </c>
      <c r="J8" s="6">
        <v>0</v>
      </c>
      <c r="K8" s="10"/>
      <c r="L8" s="11"/>
      <c r="M8" s="9"/>
    </row>
    <row r="9" spans="1:13">
      <c r="A9" s="6">
        <v>-24</v>
      </c>
      <c r="B9" s="6">
        <v>0</v>
      </c>
      <c r="C9" s="7">
        <f t="shared" si="0"/>
        <v>234.08897618225819</v>
      </c>
      <c r="D9" s="6">
        <f t="shared" si="1"/>
        <v>108.17795236451639</v>
      </c>
      <c r="E9" s="6">
        <f t="shared" si="2"/>
        <v>342.26692854677458</v>
      </c>
      <c r="F9" s="6">
        <v>0</v>
      </c>
      <c r="G9" s="6">
        <f t="shared" si="4"/>
        <v>236.25</v>
      </c>
      <c r="H9" s="6">
        <f t="shared" si="3"/>
        <v>106.875</v>
      </c>
      <c r="I9" s="6">
        <f t="shared" si="3"/>
        <v>343.125</v>
      </c>
      <c r="J9" s="6">
        <v>0</v>
      </c>
      <c r="K9" s="9"/>
      <c r="L9" s="9"/>
      <c r="M9" s="9"/>
    </row>
    <row r="10" spans="1:13">
      <c r="A10" s="6">
        <v>-23</v>
      </c>
      <c r="B10" s="6">
        <v>0</v>
      </c>
      <c r="C10" s="7">
        <f t="shared" si="0"/>
        <v>168.21181467351562</v>
      </c>
      <c r="D10" s="6">
        <f t="shared" si="1"/>
        <v>336.42362934703124</v>
      </c>
      <c r="E10" s="6">
        <f t="shared" si="2"/>
        <v>144.63544402054777</v>
      </c>
      <c r="F10" s="6">
        <v>0</v>
      </c>
      <c r="G10" s="6">
        <f t="shared" si="4"/>
        <v>168.75</v>
      </c>
      <c r="H10" s="6">
        <f t="shared" si="3"/>
        <v>337.5</v>
      </c>
      <c r="I10" s="6">
        <f t="shared" si="3"/>
        <v>146.25</v>
      </c>
      <c r="J10" s="6">
        <v>0</v>
      </c>
      <c r="K10" s="9"/>
      <c r="L10" s="9"/>
      <c r="M10" s="9"/>
    </row>
    <row r="11" spans="1:13">
      <c r="A11" s="6">
        <v>-22</v>
      </c>
      <c r="B11" s="6">
        <v>0</v>
      </c>
      <c r="C11" s="7">
        <f t="shared" si="0"/>
        <v>101.84477626692592</v>
      </c>
      <c r="D11" s="6">
        <f t="shared" si="1"/>
        <v>203.68955253385184</v>
      </c>
      <c r="E11" s="6">
        <f t="shared" si="2"/>
        <v>305.53432880077798</v>
      </c>
      <c r="F11" s="6">
        <v>0</v>
      </c>
      <c r="G11" s="6">
        <f t="shared" si="4"/>
        <v>101.25</v>
      </c>
      <c r="H11" s="6">
        <f t="shared" si="3"/>
        <v>202.5</v>
      </c>
      <c r="I11" s="6">
        <f t="shared" si="3"/>
        <v>303.75</v>
      </c>
      <c r="J11" s="6">
        <v>0</v>
      </c>
      <c r="K11" s="9"/>
      <c r="L11" s="9"/>
      <c r="M11" s="9"/>
    </row>
    <row r="12" spans="1:13">
      <c r="A12" s="6">
        <v>-21</v>
      </c>
      <c r="B12" s="6">
        <v>0</v>
      </c>
      <c r="C12" s="7">
        <f t="shared" si="0"/>
        <v>35.008077005299356</v>
      </c>
      <c r="D12" s="6">
        <f t="shared" si="1"/>
        <v>70.016154010598711</v>
      </c>
      <c r="E12" s="6">
        <f t="shared" si="2"/>
        <v>105.02423101589829</v>
      </c>
      <c r="F12" s="6">
        <v>0</v>
      </c>
      <c r="G12" s="6">
        <f t="shared" si="4"/>
        <v>33.75</v>
      </c>
      <c r="H12" s="6">
        <f t="shared" si="3"/>
        <v>67.5</v>
      </c>
      <c r="I12" s="6">
        <f t="shared" si="3"/>
        <v>106.875</v>
      </c>
      <c r="J12" s="6">
        <v>0</v>
      </c>
      <c r="K12" s="9"/>
      <c r="L12" s="9"/>
      <c r="M12" s="9"/>
    </row>
    <row r="13" spans="1:13">
      <c r="A13" s="6">
        <v>-20</v>
      </c>
      <c r="B13" s="6">
        <v>0</v>
      </c>
      <c r="C13" s="7">
        <f t="shared" si="0"/>
        <v>327.72207599469311</v>
      </c>
      <c r="D13" s="6">
        <f t="shared" si="1"/>
        <v>295.44415198938623</v>
      </c>
      <c r="E13" s="6">
        <f t="shared" si="2"/>
        <v>263.16622798408025</v>
      </c>
      <c r="F13" s="6">
        <v>0</v>
      </c>
      <c r="G13" s="6">
        <f t="shared" si="4"/>
        <v>326.25</v>
      </c>
      <c r="H13" s="6">
        <f t="shared" si="3"/>
        <v>298.125</v>
      </c>
      <c r="I13" s="6">
        <f t="shared" si="3"/>
        <v>264.375</v>
      </c>
      <c r="J13" s="6">
        <v>0</v>
      </c>
      <c r="K13" s="9"/>
      <c r="L13" s="9"/>
      <c r="M13" s="9"/>
    </row>
    <row r="14" spans="1:13">
      <c r="A14" s="6">
        <v>-19</v>
      </c>
      <c r="B14" s="6">
        <v>0</v>
      </c>
      <c r="C14" s="7">
        <f t="shared" si="0"/>
        <v>260.00726920282887</v>
      </c>
      <c r="D14" s="6">
        <f t="shared" si="1"/>
        <v>160.01453840565773</v>
      </c>
      <c r="E14" s="6">
        <f t="shared" si="2"/>
        <v>60.021807608486597</v>
      </c>
      <c r="F14" s="6">
        <v>0</v>
      </c>
      <c r="G14" s="6">
        <f t="shared" si="4"/>
        <v>258.75</v>
      </c>
      <c r="H14" s="6">
        <f t="shared" si="3"/>
        <v>157.5</v>
      </c>
      <c r="I14" s="6">
        <f t="shared" si="3"/>
        <v>61.875</v>
      </c>
      <c r="J14" s="6">
        <v>0</v>
      </c>
      <c r="K14" s="10"/>
      <c r="L14" s="11"/>
      <c r="M14" s="9"/>
    </row>
    <row r="15" spans="1:13">
      <c r="A15" s="6">
        <v>-18</v>
      </c>
      <c r="B15" s="6">
        <v>0</v>
      </c>
      <c r="C15" s="7">
        <f t="shared" si="0"/>
        <v>191.88428321582342</v>
      </c>
      <c r="D15" s="6">
        <f t="shared" si="1"/>
        <v>23.768566431646832</v>
      </c>
      <c r="E15" s="6">
        <f t="shared" si="2"/>
        <v>215.65284964747025</v>
      </c>
      <c r="F15" s="6">
        <v>0</v>
      </c>
      <c r="G15" s="6">
        <f t="shared" si="4"/>
        <v>191.25</v>
      </c>
      <c r="H15" s="6">
        <f t="shared" si="3"/>
        <v>22.5</v>
      </c>
      <c r="I15" s="6">
        <f t="shared" si="3"/>
        <v>213.75</v>
      </c>
      <c r="J15" s="6">
        <v>0</v>
      </c>
      <c r="K15" s="9"/>
      <c r="L15" s="9"/>
      <c r="M15" s="9"/>
    </row>
    <row r="16" spans="1:13">
      <c r="A16" s="6">
        <v>-17</v>
      </c>
      <c r="B16" s="6">
        <v>0</v>
      </c>
      <c r="C16" s="7">
        <f t="shared" si="0"/>
        <v>123.373868955131</v>
      </c>
      <c r="D16" s="6">
        <f t="shared" si="1"/>
        <v>246.747737910262</v>
      </c>
      <c r="E16" s="6">
        <f t="shared" si="2"/>
        <v>10.12160686539346</v>
      </c>
      <c r="F16" s="6">
        <v>0</v>
      </c>
      <c r="G16" s="6">
        <f t="shared" si="4"/>
        <v>123.75</v>
      </c>
      <c r="H16" s="6">
        <f t="shared" si="3"/>
        <v>247.5</v>
      </c>
      <c r="I16" s="6">
        <f t="shared" si="3"/>
        <v>11.25</v>
      </c>
      <c r="J16" s="6">
        <v>0</v>
      </c>
      <c r="K16" s="9"/>
      <c r="L16" s="9"/>
      <c r="M16" s="9"/>
    </row>
    <row r="17" spans="1:13">
      <c r="A17" s="6">
        <v>-16</v>
      </c>
      <c r="B17" s="6">
        <v>0</v>
      </c>
      <c r="C17" s="7">
        <f t="shared" si="0"/>
        <v>54.496895356609912</v>
      </c>
      <c r="D17" s="6">
        <f t="shared" si="1"/>
        <v>108.99379071321982</v>
      </c>
      <c r="E17" s="6">
        <f t="shared" si="2"/>
        <v>163.49068606983064</v>
      </c>
      <c r="F17" s="6">
        <v>0</v>
      </c>
      <c r="G17" s="6">
        <f t="shared" si="4"/>
        <v>56.25</v>
      </c>
      <c r="H17" s="6">
        <f t="shared" si="3"/>
        <v>106.875</v>
      </c>
      <c r="I17" s="6">
        <f t="shared" si="3"/>
        <v>163.125</v>
      </c>
      <c r="J17" s="6">
        <v>0</v>
      </c>
      <c r="K17" s="9"/>
      <c r="L17" s="9"/>
      <c r="M17" s="9"/>
    </row>
    <row r="18" spans="1:13">
      <c r="A18" s="6">
        <v>-15</v>
      </c>
      <c r="B18" s="6">
        <v>0</v>
      </c>
      <c r="C18" s="7">
        <f t="shared" si="0"/>
        <v>345.27434301364542</v>
      </c>
      <c r="D18" s="6">
        <f t="shared" si="1"/>
        <v>330.54868602729084</v>
      </c>
      <c r="E18" s="6">
        <f t="shared" si="2"/>
        <v>315.82302904093694</v>
      </c>
      <c r="F18" s="6">
        <v>0</v>
      </c>
      <c r="G18" s="6">
        <f t="shared" si="4"/>
        <v>343.125</v>
      </c>
      <c r="H18" s="6">
        <f t="shared" si="3"/>
        <v>331.875</v>
      </c>
      <c r="I18" s="6">
        <f t="shared" si="3"/>
        <v>315</v>
      </c>
      <c r="J18" s="6">
        <v>0</v>
      </c>
      <c r="K18" s="9"/>
      <c r="L18" s="9"/>
      <c r="M18" s="9"/>
    </row>
    <row r="19" spans="1:13">
      <c r="A19" s="6">
        <v>-14</v>
      </c>
      <c r="B19" s="6">
        <v>0</v>
      </c>
      <c r="C19" s="7">
        <f t="shared" si="0"/>
        <v>275.72729778625478</v>
      </c>
      <c r="D19" s="6">
        <f t="shared" si="1"/>
        <v>191.45459557250956</v>
      </c>
      <c r="E19" s="6">
        <f t="shared" si="2"/>
        <v>107.18189335876468</v>
      </c>
      <c r="F19" s="6">
        <v>0</v>
      </c>
      <c r="G19" s="6">
        <f t="shared" si="4"/>
        <v>275.625</v>
      </c>
      <c r="H19" s="6">
        <f t="shared" si="4"/>
        <v>191.25</v>
      </c>
      <c r="I19" s="6">
        <f t="shared" si="4"/>
        <v>106.875</v>
      </c>
      <c r="J19" s="6">
        <v>0</v>
      </c>
      <c r="K19" s="9"/>
      <c r="L19" s="9"/>
      <c r="M19" s="9"/>
    </row>
    <row r="20" spans="1:13">
      <c r="A20" s="6">
        <v>-13</v>
      </c>
      <c r="B20" s="6">
        <v>0</v>
      </c>
      <c r="C20" s="7">
        <f t="shared" si="0"/>
        <v>205.87694437813127</v>
      </c>
      <c r="D20" s="6">
        <f t="shared" si="1"/>
        <v>51.75388875626254</v>
      </c>
      <c r="E20" s="6">
        <f t="shared" si="2"/>
        <v>257.63083313439392</v>
      </c>
      <c r="F20" s="6">
        <v>0</v>
      </c>
      <c r="G20" s="6">
        <f t="shared" si="4"/>
        <v>208.125</v>
      </c>
      <c r="H20" s="6">
        <f t="shared" si="4"/>
        <v>50.625</v>
      </c>
      <c r="I20" s="6">
        <f t="shared" si="4"/>
        <v>258.75</v>
      </c>
      <c r="J20" s="6">
        <v>0</v>
      </c>
      <c r="K20" s="9"/>
      <c r="L20" s="9"/>
      <c r="M20" s="9"/>
    </row>
    <row r="21" spans="1:13">
      <c r="A21" s="6">
        <v>-12</v>
      </c>
      <c r="B21" s="6">
        <v>0</v>
      </c>
      <c r="C21" s="7">
        <f t="shared" si="0"/>
        <v>135.74455988357886</v>
      </c>
      <c r="D21" s="6">
        <f t="shared" si="1"/>
        <v>271.48911976715772</v>
      </c>
      <c r="E21" s="6">
        <f t="shared" si="2"/>
        <v>47.233679650736576</v>
      </c>
      <c r="F21" s="6">
        <v>0</v>
      </c>
      <c r="G21" s="6">
        <f t="shared" si="4"/>
        <v>135</v>
      </c>
      <c r="H21" s="6">
        <f t="shared" si="4"/>
        <v>270</v>
      </c>
      <c r="I21" s="6">
        <f t="shared" si="4"/>
        <v>45</v>
      </c>
      <c r="J21" s="6">
        <v>0</v>
      </c>
      <c r="K21" s="9"/>
      <c r="L21" s="9"/>
      <c r="M21" s="9"/>
    </row>
    <row r="22" spans="1:13">
      <c r="A22" s="6">
        <v>-11</v>
      </c>
      <c r="B22" s="6">
        <v>0</v>
      </c>
      <c r="C22" s="7">
        <f t="shared" si="0"/>
        <v>65.351507306302324</v>
      </c>
      <c r="D22" s="6">
        <f t="shared" si="1"/>
        <v>130.70301461260465</v>
      </c>
      <c r="E22" s="6">
        <f t="shared" si="2"/>
        <v>196.05452191890663</v>
      </c>
      <c r="F22" s="6">
        <v>0</v>
      </c>
      <c r="G22" s="6">
        <f t="shared" si="4"/>
        <v>67.5</v>
      </c>
      <c r="H22" s="6">
        <f t="shared" si="4"/>
        <v>129.375</v>
      </c>
      <c r="I22" s="6">
        <f t="shared" si="4"/>
        <v>196.875</v>
      </c>
      <c r="J22" s="6">
        <v>0</v>
      </c>
      <c r="K22" s="9"/>
      <c r="L22" s="9"/>
      <c r="M22" s="9"/>
    </row>
    <row r="23" spans="1:13">
      <c r="A23" s="6">
        <v>-10</v>
      </c>
      <c r="B23" s="6">
        <v>0</v>
      </c>
      <c r="C23" s="7">
        <f t="shared" si="0"/>
        <v>354.71922905202916</v>
      </c>
      <c r="D23" s="6">
        <f t="shared" si="1"/>
        <v>349.43845810405833</v>
      </c>
      <c r="E23" s="6">
        <f t="shared" si="2"/>
        <v>344.15768715608783</v>
      </c>
      <c r="F23" s="6">
        <v>0</v>
      </c>
      <c r="G23" s="6">
        <f t="shared" si="4"/>
        <v>354.375</v>
      </c>
      <c r="H23" s="6">
        <f t="shared" si="4"/>
        <v>348.75</v>
      </c>
      <c r="I23" s="6">
        <f t="shared" si="4"/>
        <v>343.125</v>
      </c>
      <c r="J23" s="6">
        <v>0</v>
      </c>
      <c r="K23" s="9"/>
      <c r="L23" s="9"/>
      <c r="M23" s="9"/>
    </row>
    <row r="24" spans="1:13">
      <c r="A24" s="6">
        <v>-9</v>
      </c>
      <c r="B24" s="6">
        <v>0</v>
      </c>
      <c r="C24" s="7">
        <f t="shared" si="0"/>
        <v>283.86924039694634</v>
      </c>
      <c r="D24" s="6">
        <f t="shared" si="1"/>
        <v>207.73848079389268</v>
      </c>
      <c r="E24" s="6">
        <f t="shared" si="2"/>
        <v>131.60772119083913</v>
      </c>
      <c r="F24" s="6">
        <v>0</v>
      </c>
      <c r="G24" s="6">
        <f t="shared" si="4"/>
        <v>281.25</v>
      </c>
      <c r="H24" s="6">
        <f t="shared" si="4"/>
        <v>208.125</v>
      </c>
      <c r="I24" s="6">
        <f t="shared" si="4"/>
        <v>129.375</v>
      </c>
      <c r="J24" s="6">
        <v>0</v>
      </c>
      <c r="K24" s="9"/>
      <c r="L24" s="9"/>
      <c r="M24" s="9"/>
    </row>
    <row r="25" spans="1:13">
      <c r="A25" s="6">
        <v>-8</v>
      </c>
      <c r="B25" s="6">
        <v>0</v>
      </c>
      <c r="C25" s="7">
        <f t="shared" si="0"/>
        <v>212.82312293393716</v>
      </c>
      <c r="D25" s="6">
        <f t="shared" si="1"/>
        <v>65.646245867874313</v>
      </c>
      <c r="E25" s="6">
        <f t="shared" si="2"/>
        <v>278.46936880181147</v>
      </c>
      <c r="F25" s="6">
        <v>0</v>
      </c>
      <c r="G25" s="6">
        <f t="shared" si="4"/>
        <v>213.75</v>
      </c>
      <c r="H25" s="6">
        <f t="shared" si="4"/>
        <v>67.5</v>
      </c>
      <c r="I25" s="6">
        <f t="shared" si="4"/>
        <v>281.25</v>
      </c>
      <c r="J25" s="6">
        <v>0</v>
      </c>
      <c r="K25" s="9"/>
      <c r="L25" s="9"/>
      <c r="M25" s="9"/>
    </row>
    <row r="26" spans="1:13">
      <c r="A26" s="6">
        <v>-7</v>
      </c>
      <c r="B26" s="6">
        <v>0</v>
      </c>
      <c r="C26" s="7">
        <f t="shared" si="0"/>
        <v>141.60251799862004</v>
      </c>
      <c r="D26" s="6">
        <f t="shared" si="1"/>
        <v>283.20503599724009</v>
      </c>
      <c r="E26" s="6">
        <f t="shared" si="2"/>
        <v>64.807553995860417</v>
      </c>
      <c r="F26" s="6">
        <v>0</v>
      </c>
      <c r="G26" s="6">
        <f t="shared" si="4"/>
        <v>140.625</v>
      </c>
      <c r="H26" s="6">
        <f t="shared" si="4"/>
        <v>281.25</v>
      </c>
      <c r="I26" s="6">
        <f t="shared" si="4"/>
        <v>67.5</v>
      </c>
      <c r="J26" s="6">
        <v>0</v>
      </c>
      <c r="K26" s="9"/>
      <c r="L26" s="9"/>
      <c r="M26" s="9"/>
    </row>
    <row r="27" spans="1:13">
      <c r="A27" s="6">
        <v>-6</v>
      </c>
      <c r="B27" s="6">
        <v>0</v>
      </c>
      <c r="C27" s="7">
        <f t="shared" si="0"/>
        <v>70.229120077187929</v>
      </c>
      <c r="D27" s="6">
        <f t="shared" si="1"/>
        <v>140.45824015437586</v>
      </c>
      <c r="E27" s="6">
        <f t="shared" si="2"/>
        <v>210.68736023156384</v>
      </c>
      <c r="F27" s="6">
        <v>0</v>
      </c>
      <c r="G27" s="6">
        <f t="shared" si="4"/>
        <v>67.5</v>
      </c>
      <c r="H27" s="6">
        <f t="shared" si="4"/>
        <v>140.625</v>
      </c>
      <c r="I27" s="6">
        <f t="shared" si="4"/>
        <v>208.125</v>
      </c>
      <c r="J27" s="6">
        <v>0</v>
      </c>
      <c r="K27" s="9"/>
      <c r="L27" s="9"/>
      <c r="M27" s="9"/>
    </row>
    <row r="28" spans="1:13">
      <c r="A28" s="6">
        <v>-5</v>
      </c>
      <c r="B28" s="6">
        <v>0</v>
      </c>
      <c r="C28" s="7">
        <f t="shared" si="0"/>
        <v>358.72467019805725</v>
      </c>
      <c r="D28" s="6">
        <f t="shared" si="1"/>
        <v>357.44934039611451</v>
      </c>
      <c r="E28" s="6">
        <f t="shared" si="2"/>
        <v>356.1740105941717</v>
      </c>
      <c r="F28" s="6">
        <v>0</v>
      </c>
      <c r="G28" s="6">
        <f t="shared" si="4"/>
        <v>0</v>
      </c>
      <c r="H28" s="6">
        <f t="shared" si="4"/>
        <v>0</v>
      </c>
      <c r="I28" s="6">
        <f t="shared" si="4"/>
        <v>354.375</v>
      </c>
      <c r="J28" s="6">
        <v>0</v>
      </c>
      <c r="K28" s="9"/>
      <c r="L28" s="9"/>
      <c r="M28" s="9"/>
    </row>
    <row r="29" spans="1:13">
      <c r="A29" s="6">
        <v>-4</v>
      </c>
      <c r="B29" s="6">
        <v>0</v>
      </c>
      <c r="C29" s="7">
        <f t="shared" si="0"/>
        <v>287.1109493093403</v>
      </c>
      <c r="D29" s="6">
        <f t="shared" si="1"/>
        <v>214.2218986186806</v>
      </c>
      <c r="E29" s="6">
        <f t="shared" si="2"/>
        <v>141.3328479280209</v>
      </c>
      <c r="F29" s="6">
        <v>0</v>
      </c>
      <c r="G29" s="6">
        <f t="shared" si="4"/>
        <v>286.875</v>
      </c>
      <c r="H29" s="6">
        <f t="shared" si="4"/>
        <v>213.75</v>
      </c>
      <c r="I29" s="6">
        <f t="shared" si="4"/>
        <v>140.625</v>
      </c>
      <c r="J29" s="6">
        <v>0</v>
      </c>
      <c r="K29" s="9"/>
      <c r="L29" s="9"/>
      <c r="M29" s="9"/>
    </row>
    <row r="30" spans="1:13">
      <c r="A30" s="6">
        <v>-3</v>
      </c>
      <c r="B30" s="6">
        <v>0</v>
      </c>
      <c r="C30" s="7">
        <f t="shared" si="0"/>
        <v>215.40977164415747</v>
      </c>
      <c r="D30" s="6">
        <f t="shared" si="1"/>
        <v>70.819543288314946</v>
      </c>
      <c r="E30" s="6">
        <f t="shared" si="2"/>
        <v>286.22931493247245</v>
      </c>
      <c r="F30" s="6">
        <v>0</v>
      </c>
      <c r="G30" s="6">
        <f t="shared" si="4"/>
        <v>213.75</v>
      </c>
      <c r="H30" s="6">
        <f t="shared" si="4"/>
        <v>73.125</v>
      </c>
      <c r="I30" s="6">
        <f t="shared" si="4"/>
        <v>286.875</v>
      </c>
      <c r="J30" s="6">
        <v>0</v>
      </c>
      <c r="K30" s="9"/>
      <c r="L30" s="9"/>
      <c r="M30" s="9"/>
    </row>
    <row r="31" spans="1:13">
      <c r="A31" s="6">
        <v>-2</v>
      </c>
      <c r="B31" s="6">
        <v>0</v>
      </c>
      <c r="C31" s="7">
        <f t="shared" si="0"/>
        <v>143.64297807581053</v>
      </c>
      <c r="D31" s="6">
        <f t="shared" si="1"/>
        <v>287.28595615162106</v>
      </c>
      <c r="E31" s="6">
        <f t="shared" si="2"/>
        <v>70.928934227431625</v>
      </c>
      <c r="F31" s="6">
        <v>0</v>
      </c>
      <c r="G31" s="6">
        <f t="shared" si="4"/>
        <v>146.25</v>
      </c>
      <c r="H31" s="6">
        <f t="shared" si="4"/>
        <v>286.875</v>
      </c>
      <c r="I31" s="6">
        <f t="shared" si="4"/>
        <v>73.125</v>
      </c>
      <c r="J31" s="6">
        <v>0</v>
      </c>
      <c r="K31" s="9"/>
      <c r="L31" s="9"/>
      <c r="M31" s="9"/>
    </row>
    <row r="32" spans="1:13">
      <c r="A32" s="6">
        <v>-1</v>
      </c>
      <c r="B32" s="6">
        <v>0</v>
      </c>
      <c r="C32" s="7">
        <f t="shared" si="0"/>
        <v>71.832429464840942</v>
      </c>
      <c r="D32" s="6">
        <f t="shared" si="1"/>
        <v>143.66485892968188</v>
      </c>
      <c r="E32" s="6">
        <f t="shared" si="2"/>
        <v>215.49728839452285</v>
      </c>
      <c r="F32" s="1">
        <v>0</v>
      </c>
      <c r="G32" s="6">
        <f t="shared" si="4"/>
        <v>73.125</v>
      </c>
      <c r="H32" s="6">
        <f t="shared" si="4"/>
        <v>146.25</v>
      </c>
      <c r="I32" s="6">
        <f t="shared" si="4"/>
        <v>213.75</v>
      </c>
      <c r="J32" s="1">
        <v>0</v>
      </c>
      <c r="K32" s="9"/>
      <c r="L32" s="9"/>
      <c r="M32" s="9"/>
    </row>
    <row r="33" spans="1:13">
      <c r="A33" s="6">
        <v>0</v>
      </c>
      <c r="B33" s="6">
        <v>0</v>
      </c>
      <c r="C33" s="7">
        <f t="shared" si="0"/>
        <v>0</v>
      </c>
      <c r="D33" s="6">
        <f t="shared" si="1"/>
        <v>0</v>
      </c>
      <c r="E33" s="6">
        <f t="shared" si="2"/>
        <v>0</v>
      </c>
      <c r="F33" s="6">
        <v>0</v>
      </c>
      <c r="G33" s="6">
        <f t="shared" si="4"/>
        <v>0</v>
      </c>
      <c r="H33" s="6">
        <f t="shared" si="4"/>
        <v>0</v>
      </c>
      <c r="I33" s="6">
        <f t="shared" si="4"/>
        <v>0</v>
      </c>
      <c r="J33" s="6">
        <v>0</v>
      </c>
      <c r="K33" s="9"/>
      <c r="L33" s="9"/>
      <c r="M33" s="9"/>
    </row>
    <row r="34" spans="1:13">
      <c r="A34" s="6">
        <v>1</v>
      </c>
      <c r="B34" s="6">
        <v>0</v>
      </c>
      <c r="C34" s="7">
        <f t="shared" si="0"/>
        <v>288.16757053515903</v>
      </c>
      <c r="D34" s="6">
        <f t="shared" si="1"/>
        <v>216.33514107031812</v>
      </c>
      <c r="E34" s="6">
        <f t="shared" si="2"/>
        <v>144.50271160547715</v>
      </c>
      <c r="F34" s="6">
        <v>0</v>
      </c>
      <c r="G34" s="6">
        <f t="shared" si="4"/>
        <v>286.875</v>
      </c>
      <c r="H34" s="6">
        <f t="shared" si="4"/>
        <v>213.75</v>
      </c>
      <c r="I34" s="6">
        <f t="shared" si="4"/>
        <v>146.25</v>
      </c>
      <c r="J34" s="6">
        <v>0</v>
      </c>
      <c r="K34" s="9"/>
      <c r="L34" s="9"/>
      <c r="M34" s="9"/>
    </row>
    <row r="35" spans="1:13">
      <c r="A35" s="6">
        <v>2</v>
      </c>
      <c r="B35" s="6">
        <v>0</v>
      </c>
      <c r="C35" s="7">
        <f t="shared" ref="C35:C63" si="5">MOD(-180*Freq*15.52*2*SIN(A35*PI()/180)/300,360)</f>
        <v>216.35702192418947</v>
      </c>
      <c r="D35" s="6">
        <f t="shared" ref="D35:D63" si="6">MOD(-180*Freq*2*15.52*2*SIN(A35*PI()/180)/300,360)</f>
        <v>72.714043848378935</v>
      </c>
      <c r="E35" s="6">
        <f t="shared" ref="E35:E63" si="7">MOD(-180*Freq*3*15.52*2*SIN(A35*PI()/180)/300,360)</f>
        <v>289.07106577256837</v>
      </c>
      <c r="F35" s="6">
        <v>0</v>
      </c>
      <c r="G35" s="6">
        <f t="shared" si="4"/>
        <v>213.75</v>
      </c>
      <c r="H35" s="6">
        <f t="shared" si="4"/>
        <v>73.125</v>
      </c>
      <c r="I35" s="6">
        <f t="shared" si="4"/>
        <v>286.875</v>
      </c>
      <c r="J35" s="6">
        <v>0</v>
      </c>
      <c r="K35" s="9"/>
      <c r="L35" s="9"/>
      <c r="M35" s="9"/>
    </row>
    <row r="36" spans="1:13">
      <c r="A36" s="6">
        <v>3</v>
      </c>
      <c r="B36" s="6">
        <v>0</v>
      </c>
      <c r="C36" s="7">
        <f t="shared" si="5"/>
        <v>144.59022835584253</v>
      </c>
      <c r="D36" s="6">
        <f t="shared" si="6"/>
        <v>289.18045671168505</v>
      </c>
      <c r="E36" s="6">
        <f t="shared" si="7"/>
        <v>73.770685067527552</v>
      </c>
      <c r="F36" s="6">
        <v>0</v>
      </c>
      <c r="G36" s="6">
        <f t="shared" si="4"/>
        <v>146.25</v>
      </c>
      <c r="H36" s="6">
        <f t="shared" si="4"/>
        <v>286.875</v>
      </c>
      <c r="I36" s="6">
        <f t="shared" si="4"/>
        <v>73.125</v>
      </c>
      <c r="J36" s="6">
        <v>0</v>
      </c>
      <c r="K36" s="9"/>
      <c r="L36" s="9"/>
      <c r="M36" s="9"/>
    </row>
    <row r="37" spans="1:13">
      <c r="A37" s="6">
        <v>4</v>
      </c>
      <c r="B37" s="6">
        <v>0</v>
      </c>
      <c r="C37" s="7">
        <f t="shared" si="5"/>
        <v>72.889050690659701</v>
      </c>
      <c r="D37" s="6">
        <f t="shared" si="6"/>
        <v>145.7781013813194</v>
      </c>
      <c r="E37" s="6">
        <f t="shared" si="7"/>
        <v>218.6671520719791</v>
      </c>
      <c r="F37" s="6">
        <v>0</v>
      </c>
      <c r="G37" s="6">
        <f t="shared" si="4"/>
        <v>73.125</v>
      </c>
      <c r="H37" s="6">
        <f t="shared" si="4"/>
        <v>146.25</v>
      </c>
      <c r="I37" s="6">
        <f t="shared" si="4"/>
        <v>219.375</v>
      </c>
      <c r="J37" s="6">
        <v>0</v>
      </c>
      <c r="K37" s="9"/>
      <c r="L37" s="9"/>
      <c r="M37" s="9"/>
    </row>
    <row r="38" spans="1:13">
      <c r="A38" s="6">
        <v>5</v>
      </c>
      <c r="B38" s="6">
        <v>0</v>
      </c>
      <c r="C38" s="7">
        <f t="shared" si="5"/>
        <v>1.2753298019427461</v>
      </c>
      <c r="D38" s="6">
        <f t="shared" si="6"/>
        <v>2.5506596038854923</v>
      </c>
      <c r="E38" s="6">
        <f t="shared" si="7"/>
        <v>3.8259894058282953</v>
      </c>
      <c r="F38" s="6">
        <v>0</v>
      </c>
      <c r="G38" s="6">
        <f t="shared" si="4"/>
        <v>0</v>
      </c>
      <c r="H38" s="6">
        <f t="shared" si="4"/>
        <v>0</v>
      </c>
      <c r="I38" s="6">
        <f t="shared" si="4"/>
        <v>5.625</v>
      </c>
      <c r="J38" s="6">
        <v>0</v>
      </c>
      <c r="K38" s="9"/>
      <c r="L38" s="9"/>
      <c r="M38" s="9"/>
    </row>
    <row r="39" spans="1:13">
      <c r="A39" s="6">
        <v>6</v>
      </c>
      <c r="B39" s="6">
        <v>0</v>
      </c>
      <c r="C39" s="7">
        <f t="shared" si="5"/>
        <v>289.77087992281207</v>
      </c>
      <c r="D39" s="6">
        <f t="shared" si="6"/>
        <v>219.54175984562414</v>
      </c>
      <c r="E39" s="6">
        <f t="shared" si="7"/>
        <v>149.31263976843616</v>
      </c>
      <c r="F39" s="6">
        <v>0</v>
      </c>
      <c r="G39" s="6">
        <f t="shared" si="4"/>
        <v>292.5</v>
      </c>
      <c r="H39" s="6">
        <f t="shared" si="4"/>
        <v>219.375</v>
      </c>
      <c r="I39" s="6">
        <f t="shared" si="4"/>
        <v>151.875</v>
      </c>
      <c r="J39" s="6">
        <v>0</v>
      </c>
      <c r="K39" s="10"/>
      <c r="L39" s="11"/>
      <c r="M39" s="9"/>
    </row>
    <row r="40" spans="1:13">
      <c r="A40" s="6">
        <v>7</v>
      </c>
      <c r="B40" s="6">
        <v>0</v>
      </c>
      <c r="C40" s="7">
        <f t="shared" si="5"/>
        <v>218.39748200137996</v>
      </c>
      <c r="D40" s="6">
        <f t="shared" si="6"/>
        <v>76.794964002759912</v>
      </c>
      <c r="E40" s="6">
        <f t="shared" si="7"/>
        <v>295.19244600413958</v>
      </c>
      <c r="F40" s="6">
        <v>0</v>
      </c>
      <c r="G40" s="6">
        <f t="shared" si="4"/>
        <v>219.375</v>
      </c>
      <c r="H40" s="6">
        <f t="shared" si="4"/>
        <v>78.75</v>
      </c>
      <c r="I40" s="6">
        <f t="shared" si="4"/>
        <v>292.5</v>
      </c>
      <c r="J40" s="6">
        <v>0</v>
      </c>
      <c r="K40" s="9"/>
      <c r="L40" s="9"/>
      <c r="M40" s="9"/>
    </row>
    <row r="41" spans="1:13">
      <c r="A41" s="6">
        <v>8</v>
      </c>
      <c r="B41" s="6">
        <v>0</v>
      </c>
      <c r="C41" s="7">
        <f t="shared" si="5"/>
        <v>147.17687706606284</v>
      </c>
      <c r="D41" s="6">
        <f t="shared" si="6"/>
        <v>294.35375413212569</v>
      </c>
      <c r="E41" s="6">
        <f t="shared" si="7"/>
        <v>81.53063119818853</v>
      </c>
      <c r="F41" s="6">
        <v>0</v>
      </c>
      <c r="G41" s="6">
        <f t="shared" si="4"/>
        <v>146.25</v>
      </c>
      <c r="H41" s="6">
        <f t="shared" si="4"/>
        <v>292.5</v>
      </c>
      <c r="I41" s="6">
        <f t="shared" si="4"/>
        <v>78.75</v>
      </c>
      <c r="J41" s="6">
        <v>0</v>
      </c>
      <c r="K41" s="9"/>
      <c r="L41" s="9"/>
      <c r="M41" s="9"/>
    </row>
    <row r="42" spans="1:13">
      <c r="A42" s="6">
        <v>9</v>
      </c>
      <c r="B42" s="6">
        <v>0</v>
      </c>
      <c r="C42" s="7">
        <f t="shared" si="5"/>
        <v>76.130759603053662</v>
      </c>
      <c r="D42" s="6">
        <f t="shared" si="6"/>
        <v>152.26151920610732</v>
      </c>
      <c r="E42" s="6">
        <f t="shared" si="7"/>
        <v>228.39227880916087</v>
      </c>
      <c r="F42" s="6">
        <v>0</v>
      </c>
      <c r="G42" s="6">
        <f t="shared" si="4"/>
        <v>78.75</v>
      </c>
      <c r="H42" s="6">
        <f t="shared" si="4"/>
        <v>151.875</v>
      </c>
      <c r="I42" s="6">
        <f t="shared" si="4"/>
        <v>230.625</v>
      </c>
      <c r="J42" s="6">
        <v>0</v>
      </c>
      <c r="K42" s="9"/>
      <c r="L42" s="9"/>
      <c r="M42" s="9"/>
    </row>
    <row r="43" spans="1:13">
      <c r="A43" s="6">
        <v>10</v>
      </c>
      <c r="B43" s="6">
        <v>0</v>
      </c>
      <c r="C43" s="7">
        <f t="shared" si="5"/>
        <v>5.2807709479708365</v>
      </c>
      <c r="D43" s="6">
        <f t="shared" si="6"/>
        <v>10.561541895941673</v>
      </c>
      <c r="E43" s="6">
        <f t="shared" si="7"/>
        <v>15.842312843912168</v>
      </c>
      <c r="F43" s="6">
        <v>0</v>
      </c>
      <c r="G43" s="6">
        <f t="shared" si="4"/>
        <v>5.625</v>
      </c>
      <c r="H43" s="6">
        <f t="shared" si="4"/>
        <v>11.25</v>
      </c>
      <c r="I43" s="6">
        <f t="shared" si="4"/>
        <v>16.875</v>
      </c>
      <c r="J43" s="6">
        <v>0</v>
      </c>
      <c r="K43" s="9"/>
      <c r="L43" s="9"/>
      <c r="M43" s="9"/>
    </row>
    <row r="44" spans="1:13">
      <c r="A44" s="6">
        <v>11</v>
      </c>
      <c r="B44" s="6">
        <v>0</v>
      </c>
      <c r="C44" s="7">
        <f t="shared" si="5"/>
        <v>294.64849269369768</v>
      </c>
      <c r="D44" s="6">
        <f t="shared" si="6"/>
        <v>229.29698538739535</v>
      </c>
      <c r="E44" s="6">
        <f t="shared" si="7"/>
        <v>163.94547808109337</v>
      </c>
      <c r="F44" s="6">
        <v>0</v>
      </c>
      <c r="G44" s="6">
        <f t="shared" si="4"/>
        <v>292.5</v>
      </c>
      <c r="H44" s="6">
        <f t="shared" si="4"/>
        <v>230.625</v>
      </c>
      <c r="I44" s="6">
        <f t="shared" si="4"/>
        <v>163.125</v>
      </c>
      <c r="J44" s="6">
        <v>0</v>
      </c>
      <c r="K44" s="9"/>
      <c r="L44" s="9"/>
      <c r="M44" s="9"/>
    </row>
    <row r="45" spans="1:13">
      <c r="A45" s="6">
        <v>12</v>
      </c>
      <c r="B45" s="6">
        <v>0</v>
      </c>
      <c r="C45" s="7">
        <f t="shared" si="5"/>
        <v>224.25544011642114</v>
      </c>
      <c r="D45" s="6">
        <f t="shared" si="6"/>
        <v>88.510880232842283</v>
      </c>
      <c r="E45" s="6">
        <f t="shared" si="7"/>
        <v>312.76632034926342</v>
      </c>
      <c r="F45" s="6">
        <v>0</v>
      </c>
      <c r="G45" s="6">
        <f t="shared" si="4"/>
        <v>225</v>
      </c>
      <c r="H45" s="6">
        <f t="shared" si="4"/>
        <v>90</v>
      </c>
      <c r="I45" s="6">
        <f t="shared" si="4"/>
        <v>315</v>
      </c>
      <c r="J45" s="6">
        <v>0</v>
      </c>
      <c r="K45" s="10"/>
      <c r="L45" s="11"/>
      <c r="M45" s="9"/>
    </row>
    <row r="46" spans="1:13">
      <c r="A46" s="6">
        <v>13</v>
      </c>
      <c r="B46" s="6">
        <v>0</v>
      </c>
      <c r="C46" s="7">
        <f t="shared" si="5"/>
        <v>154.12305562186873</v>
      </c>
      <c r="D46" s="6">
        <f t="shared" si="6"/>
        <v>308.24611124373746</v>
      </c>
      <c r="E46" s="6">
        <f t="shared" si="7"/>
        <v>102.36916686560608</v>
      </c>
      <c r="F46" s="6">
        <v>0</v>
      </c>
      <c r="G46" s="6">
        <f t="shared" si="4"/>
        <v>151.875</v>
      </c>
      <c r="H46" s="6">
        <f t="shared" si="4"/>
        <v>309.375</v>
      </c>
      <c r="I46" s="6">
        <f t="shared" si="4"/>
        <v>101.25</v>
      </c>
      <c r="J46" s="6">
        <v>0</v>
      </c>
      <c r="K46" s="9"/>
      <c r="L46" s="9"/>
      <c r="M46" s="9"/>
    </row>
    <row r="47" spans="1:13">
      <c r="A47" s="6">
        <v>14</v>
      </c>
      <c r="B47" s="6">
        <v>0</v>
      </c>
      <c r="C47" s="7">
        <f t="shared" si="5"/>
        <v>84.27270221374522</v>
      </c>
      <c r="D47" s="6">
        <f t="shared" si="6"/>
        <v>168.54540442749044</v>
      </c>
      <c r="E47" s="6">
        <f t="shared" si="7"/>
        <v>252.81810664123532</v>
      </c>
      <c r="F47" s="6">
        <v>0</v>
      </c>
      <c r="G47" s="6">
        <f t="shared" si="4"/>
        <v>84.375</v>
      </c>
      <c r="H47" s="6">
        <f t="shared" si="4"/>
        <v>168.75</v>
      </c>
      <c r="I47" s="6">
        <f t="shared" si="4"/>
        <v>253.125</v>
      </c>
      <c r="J47" s="6">
        <v>0</v>
      </c>
      <c r="K47" s="9"/>
      <c r="L47" s="9"/>
      <c r="M47" s="9"/>
    </row>
    <row r="48" spans="1:13">
      <c r="A48" s="6">
        <v>15</v>
      </c>
      <c r="B48" s="6">
        <v>0</v>
      </c>
      <c r="C48" s="7">
        <f t="shared" si="5"/>
        <v>14.725656986354579</v>
      </c>
      <c r="D48" s="6">
        <f t="shared" si="6"/>
        <v>29.451313972709158</v>
      </c>
      <c r="E48" s="6">
        <f t="shared" si="7"/>
        <v>44.176970959063055</v>
      </c>
      <c r="F48" s="6">
        <v>0</v>
      </c>
      <c r="G48" s="6">
        <f t="shared" si="4"/>
        <v>16.875</v>
      </c>
      <c r="H48" s="6">
        <f t="shared" si="4"/>
        <v>28.125</v>
      </c>
      <c r="I48" s="6">
        <f t="shared" si="4"/>
        <v>45</v>
      </c>
      <c r="J48" s="6">
        <v>0</v>
      </c>
      <c r="K48" s="9"/>
      <c r="L48" s="9"/>
      <c r="M48" s="9"/>
    </row>
    <row r="49" spans="1:13">
      <c r="A49" s="6">
        <v>16</v>
      </c>
      <c r="B49" s="6">
        <v>0</v>
      </c>
      <c r="C49" s="7">
        <f t="shared" si="5"/>
        <v>305.50310464339009</v>
      </c>
      <c r="D49" s="6">
        <f t="shared" si="6"/>
        <v>251.00620928678018</v>
      </c>
      <c r="E49" s="6">
        <f t="shared" si="7"/>
        <v>196.50931393016936</v>
      </c>
      <c r="F49" s="6">
        <v>0</v>
      </c>
      <c r="G49" s="6">
        <f t="shared" si="4"/>
        <v>303.75</v>
      </c>
      <c r="H49" s="6">
        <f t="shared" si="4"/>
        <v>253.125</v>
      </c>
      <c r="I49" s="6">
        <f t="shared" si="4"/>
        <v>196.875</v>
      </c>
      <c r="J49" s="6">
        <v>0</v>
      </c>
      <c r="K49" s="9"/>
      <c r="L49" s="9"/>
      <c r="M49" s="9"/>
    </row>
    <row r="50" spans="1:13">
      <c r="A50" s="6">
        <v>17</v>
      </c>
      <c r="B50" s="6">
        <v>0</v>
      </c>
      <c r="C50" s="7">
        <f t="shared" si="5"/>
        <v>236.626131044869</v>
      </c>
      <c r="D50" s="6">
        <f t="shared" si="6"/>
        <v>113.252262089738</v>
      </c>
      <c r="E50" s="6">
        <f t="shared" si="7"/>
        <v>349.87839313460654</v>
      </c>
      <c r="F50" s="6">
        <v>0</v>
      </c>
      <c r="G50" s="6">
        <f t="shared" si="4"/>
        <v>236.25</v>
      </c>
      <c r="H50" s="6">
        <f t="shared" si="4"/>
        <v>112.5</v>
      </c>
      <c r="I50" s="6">
        <f t="shared" si="4"/>
        <v>348.75</v>
      </c>
      <c r="J50" s="6">
        <v>0</v>
      </c>
      <c r="K50" s="9"/>
      <c r="L50" s="9"/>
      <c r="M50" s="9"/>
    </row>
    <row r="51" spans="1:13">
      <c r="A51" s="6">
        <v>18</v>
      </c>
      <c r="B51" s="6">
        <v>0</v>
      </c>
      <c r="C51" s="7">
        <f t="shared" si="5"/>
        <v>168.11571678417658</v>
      </c>
      <c r="D51" s="6">
        <f t="shared" si="6"/>
        <v>336.23143356835317</v>
      </c>
      <c r="E51" s="6">
        <f t="shared" si="7"/>
        <v>144.34715035252975</v>
      </c>
      <c r="F51" s="6">
        <v>0</v>
      </c>
      <c r="G51" s="6">
        <f t="shared" si="4"/>
        <v>168.75</v>
      </c>
      <c r="H51" s="6">
        <f t="shared" si="4"/>
        <v>337.5</v>
      </c>
      <c r="I51" s="6">
        <f t="shared" si="4"/>
        <v>146.25</v>
      </c>
      <c r="J51" s="6">
        <v>0</v>
      </c>
      <c r="K51" s="9"/>
      <c r="L51" s="9"/>
      <c r="M51" s="9"/>
    </row>
    <row r="52" spans="1:13">
      <c r="A52" s="6">
        <v>19</v>
      </c>
      <c r="B52" s="6">
        <v>0</v>
      </c>
      <c r="C52" s="7">
        <f t="shared" si="5"/>
        <v>99.992730797171134</v>
      </c>
      <c r="D52" s="6">
        <f t="shared" si="6"/>
        <v>199.98546159434227</v>
      </c>
      <c r="E52" s="6">
        <f t="shared" si="7"/>
        <v>299.9781923915134</v>
      </c>
      <c r="F52" s="6">
        <v>0</v>
      </c>
      <c r="G52" s="6">
        <f t="shared" si="4"/>
        <v>101.25</v>
      </c>
      <c r="H52" s="6">
        <f t="shared" si="4"/>
        <v>202.5</v>
      </c>
      <c r="I52" s="6">
        <f t="shared" si="4"/>
        <v>298.125</v>
      </c>
      <c r="J52" s="6">
        <v>0</v>
      </c>
      <c r="K52" s="9"/>
      <c r="L52" s="9"/>
      <c r="M52" s="9"/>
    </row>
    <row r="53" spans="1:13">
      <c r="A53" s="6">
        <v>20</v>
      </c>
      <c r="B53" s="6">
        <v>0</v>
      </c>
      <c r="C53" s="7">
        <f t="shared" si="5"/>
        <v>32.277924005306886</v>
      </c>
      <c r="D53" s="6">
        <f t="shared" si="6"/>
        <v>64.555848010613772</v>
      </c>
      <c r="E53" s="6">
        <f t="shared" si="7"/>
        <v>96.833772015919749</v>
      </c>
      <c r="F53" s="6">
        <v>0</v>
      </c>
      <c r="G53" s="6">
        <f t="shared" si="4"/>
        <v>33.75</v>
      </c>
      <c r="H53" s="6">
        <f t="shared" si="4"/>
        <v>61.875</v>
      </c>
      <c r="I53" s="6">
        <f t="shared" si="4"/>
        <v>95.625</v>
      </c>
      <c r="J53" s="6">
        <v>0</v>
      </c>
      <c r="K53" s="9"/>
      <c r="L53" s="9"/>
      <c r="M53" s="9"/>
    </row>
    <row r="54" spans="1:13">
      <c r="A54" s="6">
        <v>21</v>
      </c>
      <c r="B54" s="6">
        <v>0</v>
      </c>
      <c r="C54" s="7">
        <f t="shared" si="5"/>
        <v>324.99192299470064</v>
      </c>
      <c r="D54" s="6">
        <f t="shared" si="6"/>
        <v>289.98384598940129</v>
      </c>
      <c r="E54" s="6">
        <f t="shared" si="7"/>
        <v>254.97576898410171</v>
      </c>
      <c r="F54" s="6">
        <v>0</v>
      </c>
      <c r="G54" s="6">
        <f t="shared" si="4"/>
        <v>326.25</v>
      </c>
      <c r="H54" s="6">
        <f t="shared" si="4"/>
        <v>292.5</v>
      </c>
      <c r="I54" s="6">
        <f t="shared" si="4"/>
        <v>253.125</v>
      </c>
      <c r="J54" s="6">
        <v>0</v>
      </c>
      <c r="K54" s="9"/>
      <c r="L54" s="9"/>
      <c r="M54" s="9"/>
    </row>
    <row r="55" spans="1:13">
      <c r="A55" s="6">
        <v>22</v>
      </c>
      <c r="B55" s="6">
        <v>0</v>
      </c>
      <c r="C55" s="7">
        <f t="shared" si="5"/>
        <v>258.15522373307408</v>
      </c>
      <c r="D55" s="6">
        <f t="shared" si="6"/>
        <v>156.31044746614816</v>
      </c>
      <c r="E55" s="6">
        <f t="shared" si="7"/>
        <v>54.465671199222015</v>
      </c>
      <c r="F55" s="6">
        <v>0</v>
      </c>
      <c r="G55" s="6">
        <f t="shared" si="4"/>
        <v>258.75</v>
      </c>
      <c r="H55" s="6">
        <f t="shared" si="4"/>
        <v>157.5</v>
      </c>
      <c r="I55" s="6">
        <f t="shared" si="4"/>
        <v>56.25</v>
      </c>
      <c r="J55" s="6">
        <v>0</v>
      </c>
      <c r="K55" s="9"/>
      <c r="L55" s="9"/>
      <c r="M55" s="9"/>
    </row>
    <row r="56" spans="1:13">
      <c r="A56" s="6">
        <v>23</v>
      </c>
      <c r="B56" s="6">
        <v>0</v>
      </c>
      <c r="C56" s="7">
        <f t="shared" si="5"/>
        <v>191.78818532648438</v>
      </c>
      <c r="D56" s="6">
        <f t="shared" si="6"/>
        <v>23.576370652968762</v>
      </c>
      <c r="E56" s="6">
        <f t="shared" si="7"/>
        <v>215.36455597945223</v>
      </c>
      <c r="F56" s="6">
        <v>0</v>
      </c>
      <c r="G56" s="6">
        <f t="shared" si="4"/>
        <v>191.25</v>
      </c>
      <c r="H56" s="6">
        <f t="shared" si="4"/>
        <v>22.5</v>
      </c>
      <c r="I56" s="6">
        <f t="shared" si="4"/>
        <v>213.75</v>
      </c>
      <c r="J56" s="6">
        <v>0</v>
      </c>
      <c r="K56" s="9"/>
      <c r="L56" s="9"/>
      <c r="M56" s="9"/>
    </row>
    <row r="57" spans="1:13">
      <c r="A57" s="6">
        <v>24</v>
      </c>
      <c r="B57" s="6">
        <v>0</v>
      </c>
      <c r="C57" s="7">
        <f t="shared" si="5"/>
        <v>125.91102381774181</v>
      </c>
      <c r="D57" s="6">
        <f t="shared" si="6"/>
        <v>251.82204763548361</v>
      </c>
      <c r="E57" s="6">
        <f t="shared" si="7"/>
        <v>17.733071453225421</v>
      </c>
      <c r="F57" s="6">
        <v>0</v>
      </c>
      <c r="G57" s="6">
        <f t="shared" si="4"/>
        <v>123.75</v>
      </c>
      <c r="H57" s="6">
        <f t="shared" si="4"/>
        <v>253.125</v>
      </c>
      <c r="I57" s="6">
        <f t="shared" si="4"/>
        <v>16.875</v>
      </c>
      <c r="J57" s="6">
        <v>0</v>
      </c>
      <c r="K57" s="9"/>
      <c r="L57" s="9"/>
      <c r="M57" s="9"/>
    </row>
    <row r="58" spans="1:13">
      <c r="A58" s="6">
        <v>25</v>
      </c>
      <c r="B58" s="6">
        <v>0</v>
      </c>
      <c r="C58" s="7">
        <f t="shared" si="5"/>
        <v>60.543806028408198</v>
      </c>
      <c r="D58" s="6">
        <f t="shared" si="6"/>
        <v>121.0876120568164</v>
      </c>
      <c r="E58" s="6">
        <f t="shared" si="7"/>
        <v>181.63141808522505</v>
      </c>
      <c r="F58" s="6">
        <v>0</v>
      </c>
      <c r="G58" s="6">
        <f t="shared" si="4"/>
        <v>61.875</v>
      </c>
      <c r="H58" s="6">
        <f t="shared" si="4"/>
        <v>123.75</v>
      </c>
      <c r="I58" s="6">
        <f t="shared" si="4"/>
        <v>180</v>
      </c>
      <c r="J58" s="6">
        <v>0</v>
      </c>
      <c r="K58" s="9"/>
      <c r="L58" s="9"/>
      <c r="M58" s="9"/>
    </row>
    <row r="59" spans="1:13">
      <c r="A59" s="6">
        <v>26</v>
      </c>
      <c r="B59" s="6">
        <v>0</v>
      </c>
      <c r="C59" s="7">
        <f t="shared" si="5"/>
        <v>355.70644344624907</v>
      </c>
      <c r="D59" s="6">
        <f t="shared" si="6"/>
        <v>351.41288689249814</v>
      </c>
      <c r="E59" s="6">
        <f t="shared" si="7"/>
        <v>347.1193303387472</v>
      </c>
      <c r="F59" s="6">
        <v>0</v>
      </c>
      <c r="G59" s="6">
        <f t="shared" si="4"/>
        <v>354.375</v>
      </c>
      <c r="H59" s="6">
        <f t="shared" si="4"/>
        <v>348.75</v>
      </c>
      <c r="I59" s="6">
        <f t="shared" si="4"/>
        <v>348.75</v>
      </c>
      <c r="J59" s="6">
        <v>0</v>
      </c>
      <c r="K59" s="9"/>
      <c r="L59" s="9"/>
      <c r="M59" s="9"/>
    </row>
    <row r="60" spans="1:13">
      <c r="A60" s="6">
        <v>27</v>
      </c>
      <c r="B60" s="6">
        <v>0</v>
      </c>
      <c r="C60" s="7">
        <f t="shared" si="5"/>
        <v>291.41868616000056</v>
      </c>
      <c r="D60" s="6">
        <f t="shared" si="6"/>
        <v>222.83737232000112</v>
      </c>
      <c r="E60" s="6">
        <f t="shared" si="7"/>
        <v>154.25605848000123</v>
      </c>
      <c r="F60" s="6">
        <v>0</v>
      </c>
      <c r="G60" s="6">
        <f t="shared" si="4"/>
        <v>292.5</v>
      </c>
      <c r="H60" s="6">
        <f t="shared" si="4"/>
        <v>225</v>
      </c>
      <c r="I60" s="6">
        <f t="shared" si="4"/>
        <v>151.875</v>
      </c>
      <c r="J60" s="6">
        <v>0</v>
      </c>
      <c r="K60" s="9"/>
      <c r="L60" s="9"/>
      <c r="M60" s="9"/>
    </row>
    <row r="61" spans="1:13">
      <c r="A61" s="6">
        <v>28</v>
      </c>
      <c r="B61" s="6">
        <v>0</v>
      </c>
      <c r="C61" s="7">
        <f t="shared" si="5"/>
        <v>227.70011684330098</v>
      </c>
      <c r="D61" s="6">
        <f t="shared" si="6"/>
        <v>95.40023368660195</v>
      </c>
      <c r="E61" s="6">
        <f t="shared" si="7"/>
        <v>323.10035052990224</v>
      </c>
      <c r="F61" s="6">
        <v>0</v>
      </c>
      <c r="G61" s="6">
        <f t="shared" si="4"/>
        <v>225</v>
      </c>
      <c r="H61" s="6">
        <f t="shared" si="4"/>
        <v>95.625</v>
      </c>
      <c r="I61" s="6">
        <f t="shared" si="4"/>
        <v>320.625</v>
      </c>
      <c r="J61" s="6">
        <v>0</v>
      </c>
      <c r="K61" s="9"/>
      <c r="L61" s="9"/>
      <c r="M61" s="9"/>
    </row>
    <row r="62" spans="1:13">
      <c r="A62" s="6">
        <v>29</v>
      </c>
      <c r="B62" s="6">
        <v>0</v>
      </c>
      <c r="C62" s="7">
        <f t="shared" si="5"/>
        <v>164.5701447896206</v>
      </c>
      <c r="D62" s="6">
        <f t="shared" si="6"/>
        <v>329.1402895792412</v>
      </c>
      <c r="E62" s="6">
        <f t="shared" si="7"/>
        <v>133.71043436886066</v>
      </c>
      <c r="F62" s="6">
        <v>0</v>
      </c>
      <c r="G62" s="6">
        <f t="shared" si="4"/>
        <v>163.125</v>
      </c>
      <c r="H62" s="6">
        <f t="shared" si="4"/>
        <v>331.875</v>
      </c>
      <c r="I62" s="6">
        <f t="shared" si="4"/>
        <v>135</v>
      </c>
      <c r="J62" s="6">
        <v>0</v>
      </c>
      <c r="K62" s="9"/>
      <c r="L62" s="9"/>
      <c r="M62" s="9"/>
    </row>
    <row r="63" spans="1:13">
      <c r="A63" s="6">
        <v>30</v>
      </c>
      <c r="B63" s="6">
        <v>0</v>
      </c>
      <c r="C63" s="7">
        <f t="shared" si="5"/>
        <v>102.04800000000068</v>
      </c>
      <c r="D63" s="6">
        <f t="shared" si="6"/>
        <v>204.09600000000137</v>
      </c>
      <c r="E63" s="6">
        <f t="shared" si="7"/>
        <v>306.14400000000023</v>
      </c>
      <c r="F63" s="6">
        <v>0</v>
      </c>
      <c r="G63" s="6">
        <f t="shared" si="4"/>
        <v>101.25</v>
      </c>
      <c r="H63" s="6">
        <f t="shared" si="4"/>
        <v>202.5</v>
      </c>
      <c r="I63" s="6">
        <f t="shared" si="4"/>
        <v>303.75</v>
      </c>
      <c r="J63" s="6">
        <v>0</v>
      </c>
      <c r="K63" s="9"/>
      <c r="L63" s="9"/>
      <c r="M63" s="9"/>
    </row>
  </sheetData>
  <mergeCells count="3">
    <mergeCell ref="C1:E1"/>
    <mergeCell ref="G1:I1"/>
    <mergeCell ref="K1:M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A481-3BE9-4F89-B4DC-499F05E5E885}">
  <dimension ref="A1:M63"/>
  <sheetViews>
    <sheetView workbookViewId="0">
      <pane ySplit="2" topLeftCell="A3" activePane="bottomLeft" state="frozen"/>
      <selection pane="bottomLeft" activeCell="M14" sqref="M14"/>
    </sheetView>
  </sheetViews>
  <sheetFormatPr defaultRowHeight="14"/>
  <sheetData>
    <row r="1" spans="1:13" ht="15.5">
      <c r="A1" s="5" t="s">
        <v>5</v>
      </c>
      <c r="B1" s="5">
        <v>224</v>
      </c>
      <c r="C1" s="12" t="s">
        <v>6</v>
      </c>
      <c r="D1" s="12"/>
      <c r="E1" s="12"/>
      <c r="F1" s="1"/>
      <c r="G1" s="12" t="s">
        <v>7</v>
      </c>
      <c r="H1" s="12"/>
      <c r="I1" s="12"/>
      <c r="K1" s="12" t="s">
        <v>12</v>
      </c>
      <c r="L1" s="12"/>
      <c r="M1" s="12"/>
    </row>
    <row r="2" spans="1:13" ht="15.5">
      <c r="A2" s="5" t="s">
        <v>4</v>
      </c>
      <c r="B2" s="4" t="s">
        <v>13</v>
      </c>
      <c r="C2" s="4" t="s">
        <v>14</v>
      </c>
      <c r="D2" s="4" t="s">
        <v>15</v>
      </c>
      <c r="E2" s="4" t="s">
        <v>16</v>
      </c>
      <c r="F2" s="2" t="s">
        <v>8</v>
      </c>
      <c r="G2" s="4" t="s">
        <v>9</v>
      </c>
      <c r="H2" s="4" t="s">
        <v>10</v>
      </c>
      <c r="I2" s="4" t="s">
        <v>11</v>
      </c>
      <c r="J2" s="2" t="s">
        <v>0</v>
      </c>
      <c r="K2" s="4" t="s">
        <v>1</v>
      </c>
      <c r="L2" s="4" t="s">
        <v>2</v>
      </c>
      <c r="M2" s="4" t="s">
        <v>3</v>
      </c>
    </row>
    <row r="3" spans="1:13">
      <c r="A3" s="6">
        <v>-30</v>
      </c>
      <c r="B3" s="6">
        <v>0</v>
      </c>
      <c r="C3" s="7">
        <f t="shared" ref="C3:C34" si="0">MOD(-180*Freq*15.52*2*SIN(A3*PI()/180)/300,360)</f>
        <v>285.88799999999947</v>
      </c>
      <c r="D3" s="6">
        <f t="shared" ref="D3:D34" si="1">MOD(-180*Freq*2*15.52*2*SIN(A3*PI()/180)/300,360)</f>
        <v>211.77599999999893</v>
      </c>
      <c r="E3" s="6">
        <f t="shared" ref="E3:E34" si="2">MOD(-180*Freq*3*15.52*2*SIN(A3*PI()/180)/300,360)</f>
        <v>137.66399999999885</v>
      </c>
      <c r="F3" s="6">
        <v>0</v>
      </c>
      <c r="G3" s="6">
        <f>MOD(ROUND(C3/5.625,0)*5.625,360)</f>
        <v>286.875</v>
      </c>
      <c r="H3" s="6">
        <f t="shared" ref="H3:I18" si="3">MOD(ROUND(D3/5.625,0)*5.625,360)</f>
        <v>213.75</v>
      </c>
      <c r="I3" s="6">
        <f t="shared" si="3"/>
        <v>135</v>
      </c>
      <c r="J3" s="6">
        <v>0</v>
      </c>
      <c r="K3" s="9"/>
      <c r="L3" s="9"/>
      <c r="M3" s="9"/>
    </row>
    <row r="4" spans="1:13">
      <c r="A4" s="6">
        <v>-29</v>
      </c>
      <c r="B4" s="6">
        <v>0</v>
      </c>
      <c r="C4" s="7">
        <f t="shared" si="0"/>
        <v>222.51713831278312</v>
      </c>
      <c r="D4" s="6">
        <f t="shared" si="1"/>
        <v>85.034276625566235</v>
      </c>
      <c r="E4" s="6">
        <f t="shared" si="2"/>
        <v>307.5514149383489</v>
      </c>
      <c r="F4" s="6">
        <v>0</v>
      </c>
      <c r="G4" s="6">
        <f t="shared" ref="G4:I63" si="4">MOD(ROUND(C4/5.625,0)*5.625,360)</f>
        <v>225</v>
      </c>
      <c r="H4" s="6">
        <f t="shared" si="3"/>
        <v>84.375</v>
      </c>
      <c r="I4" s="6">
        <f t="shared" si="3"/>
        <v>309.375</v>
      </c>
      <c r="J4" s="6">
        <v>0</v>
      </c>
      <c r="K4" s="9"/>
      <c r="L4" s="9"/>
      <c r="M4" s="9"/>
    </row>
    <row r="5" spans="1:13">
      <c r="A5" s="6">
        <v>-28</v>
      </c>
      <c r="B5" s="6">
        <v>0</v>
      </c>
      <c r="C5" s="7">
        <f t="shared" si="0"/>
        <v>158.53019831267261</v>
      </c>
      <c r="D5" s="6">
        <f t="shared" si="1"/>
        <v>317.06039662534522</v>
      </c>
      <c r="E5" s="6">
        <f t="shared" si="2"/>
        <v>115.59059493801669</v>
      </c>
      <c r="F5" s="6">
        <v>0</v>
      </c>
      <c r="G5" s="6">
        <f t="shared" si="4"/>
        <v>157.5</v>
      </c>
      <c r="H5" s="6">
        <f t="shared" si="3"/>
        <v>315</v>
      </c>
      <c r="I5" s="6">
        <f t="shared" si="3"/>
        <v>118.125</v>
      </c>
      <c r="J5" s="6">
        <v>0</v>
      </c>
      <c r="K5" s="9"/>
      <c r="L5" s="9"/>
      <c r="M5" s="9"/>
    </row>
    <row r="6" spans="1:13">
      <c r="A6" s="6">
        <v>-27</v>
      </c>
      <c r="B6" s="6">
        <v>0</v>
      </c>
      <c r="C6" s="7">
        <f t="shared" si="0"/>
        <v>93.946671041447416</v>
      </c>
      <c r="D6" s="6">
        <f t="shared" si="1"/>
        <v>187.89334208289483</v>
      </c>
      <c r="E6" s="6">
        <f t="shared" si="2"/>
        <v>281.84001312434248</v>
      </c>
      <c r="F6" s="6">
        <v>0</v>
      </c>
      <c r="G6" s="6">
        <f t="shared" si="4"/>
        <v>95.625</v>
      </c>
      <c r="H6" s="6">
        <f t="shared" si="3"/>
        <v>185.625</v>
      </c>
      <c r="I6" s="6">
        <f t="shared" si="3"/>
        <v>281.25</v>
      </c>
      <c r="J6" s="6">
        <v>0</v>
      </c>
      <c r="K6" s="9"/>
      <c r="L6" s="9"/>
      <c r="M6" s="9"/>
    </row>
    <row r="7" spans="1:13">
      <c r="A7" s="6">
        <v>-26</v>
      </c>
      <c r="B7" s="6">
        <v>0</v>
      </c>
      <c r="C7" s="7">
        <f t="shared" si="0"/>
        <v>28.786229267150247</v>
      </c>
      <c r="D7" s="6">
        <f t="shared" si="1"/>
        <v>57.572458534300495</v>
      </c>
      <c r="E7" s="6">
        <f t="shared" si="2"/>
        <v>86.358687801450287</v>
      </c>
      <c r="F7" s="6">
        <v>0</v>
      </c>
      <c r="G7" s="6">
        <f t="shared" si="4"/>
        <v>28.125</v>
      </c>
      <c r="H7" s="6">
        <f t="shared" si="3"/>
        <v>56.25</v>
      </c>
      <c r="I7" s="6">
        <f t="shared" si="3"/>
        <v>84.375</v>
      </c>
      <c r="J7" s="6">
        <v>0</v>
      </c>
      <c r="K7" s="9"/>
      <c r="L7" s="9"/>
      <c r="M7" s="9"/>
    </row>
    <row r="8" spans="1:13">
      <c r="A8" s="6">
        <v>-25</v>
      </c>
      <c r="B8" s="6">
        <v>0</v>
      </c>
      <c r="C8" s="7">
        <f t="shared" si="0"/>
        <v>323.06872149156834</v>
      </c>
      <c r="D8" s="6">
        <f t="shared" si="1"/>
        <v>286.13744298313668</v>
      </c>
      <c r="E8" s="6">
        <f t="shared" si="2"/>
        <v>249.20616447470456</v>
      </c>
      <c r="F8" s="6">
        <v>0</v>
      </c>
      <c r="G8" s="6">
        <f t="shared" si="4"/>
        <v>320.625</v>
      </c>
      <c r="H8" s="6">
        <f t="shared" si="3"/>
        <v>286.875</v>
      </c>
      <c r="I8" s="6">
        <f t="shared" si="3"/>
        <v>247.5</v>
      </c>
      <c r="J8" s="6">
        <v>0</v>
      </c>
      <c r="K8" s="10"/>
      <c r="L8" s="11"/>
      <c r="M8" s="9"/>
    </row>
    <row r="9" spans="1:13">
      <c r="A9" s="6">
        <v>-24</v>
      </c>
      <c r="B9" s="6">
        <v>0</v>
      </c>
      <c r="C9" s="7">
        <f t="shared" si="0"/>
        <v>256.81416590418939</v>
      </c>
      <c r="D9" s="6">
        <f t="shared" si="1"/>
        <v>153.62833180837879</v>
      </c>
      <c r="E9" s="6">
        <f t="shared" si="2"/>
        <v>50.442497712568183</v>
      </c>
      <c r="F9" s="6">
        <v>0</v>
      </c>
      <c r="G9" s="6">
        <f t="shared" si="4"/>
        <v>258.75</v>
      </c>
      <c r="H9" s="6">
        <f t="shared" si="3"/>
        <v>151.875</v>
      </c>
      <c r="I9" s="6">
        <f t="shared" si="3"/>
        <v>50.625</v>
      </c>
      <c r="J9" s="6">
        <v>0</v>
      </c>
      <c r="K9" s="9"/>
      <c r="L9" s="9"/>
      <c r="M9" s="9"/>
    </row>
    <row r="10" spans="1:13">
      <c r="A10" s="6">
        <v>-23</v>
      </c>
      <c r="B10" s="6">
        <v>0</v>
      </c>
      <c r="C10" s="7">
        <f t="shared" si="0"/>
        <v>190.04274428446843</v>
      </c>
      <c r="D10" s="6">
        <f t="shared" si="1"/>
        <v>20.085488568936853</v>
      </c>
      <c r="E10" s="6">
        <f t="shared" si="2"/>
        <v>210.12823285340528</v>
      </c>
      <c r="F10" s="6">
        <v>0</v>
      </c>
      <c r="G10" s="6">
        <f t="shared" si="4"/>
        <v>191.25</v>
      </c>
      <c r="H10" s="6">
        <f t="shared" si="3"/>
        <v>22.5</v>
      </c>
      <c r="I10" s="6">
        <f t="shared" si="3"/>
        <v>208.125</v>
      </c>
      <c r="J10" s="6">
        <v>0</v>
      </c>
      <c r="K10" s="9"/>
      <c r="L10" s="9"/>
      <c r="M10" s="9"/>
    </row>
    <row r="11" spans="1:13">
      <c r="A11" s="6">
        <v>-22</v>
      </c>
      <c r="B11" s="6">
        <v>0</v>
      </c>
      <c r="C11" s="7">
        <f t="shared" si="0"/>
        <v>122.77479585425976</v>
      </c>
      <c r="D11" s="6">
        <f t="shared" si="1"/>
        <v>245.54959170851953</v>
      </c>
      <c r="E11" s="6">
        <f t="shared" si="2"/>
        <v>8.3243875627795205</v>
      </c>
      <c r="F11" s="6">
        <v>0</v>
      </c>
      <c r="G11" s="6">
        <f t="shared" si="4"/>
        <v>123.75</v>
      </c>
      <c r="H11" s="6">
        <f t="shared" si="3"/>
        <v>247.5</v>
      </c>
      <c r="I11" s="6">
        <f t="shared" si="3"/>
        <v>5.625</v>
      </c>
      <c r="J11" s="6">
        <v>0</v>
      </c>
      <c r="K11" s="9"/>
      <c r="L11" s="9"/>
      <c r="M11" s="9"/>
    </row>
    <row r="12" spans="1:13">
      <c r="A12" s="6">
        <v>-21</v>
      </c>
      <c r="B12" s="6">
        <v>0</v>
      </c>
      <c r="C12" s="7">
        <f t="shared" si="0"/>
        <v>55.030811082294576</v>
      </c>
      <c r="D12" s="6">
        <f t="shared" si="1"/>
        <v>110.06162216458915</v>
      </c>
      <c r="E12" s="6">
        <f t="shared" si="2"/>
        <v>165.09243324688305</v>
      </c>
      <c r="F12" s="6">
        <v>0</v>
      </c>
      <c r="G12" s="6">
        <f t="shared" si="4"/>
        <v>56.25</v>
      </c>
      <c r="H12" s="6">
        <f t="shared" si="3"/>
        <v>112.5</v>
      </c>
      <c r="I12" s="6">
        <f t="shared" si="3"/>
        <v>163.125</v>
      </c>
      <c r="J12" s="6">
        <v>0</v>
      </c>
      <c r="K12" s="9"/>
      <c r="L12" s="9"/>
      <c r="M12" s="9"/>
    </row>
    <row r="13" spans="1:13">
      <c r="A13" s="6">
        <v>-20</v>
      </c>
      <c r="B13" s="6">
        <v>0</v>
      </c>
      <c r="C13" s="7">
        <f t="shared" si="0"/>
        <v>346.83142544258499</v>
      </c>
      <c r="D13" s="6">
        <f t="shared" si="1"/>
        <v>333.66285088516997</v>
      </c>
      <c r="E13" s="6">
        <f t="shared" si="2"/>
        <v>320.49427632775496</v>
      </c>
      <c r="F13" s="6">
        <v>0</v>
      </c>
      <c r="G13" s="6">
        <f t="shared" si="4"/>
        <v>348.75</v>
      </c>
      <c r="H13" s="6">
        <f t="shared" si="3"/>
        <v>331.875</v>
      </c>
      <c r="I13" s="6">
        <f t="shared" si="3"/>
        <v>320.625</v>
      </c>
      <c r="J13" s="6">
        <v>0</v>
      </c>
      <c r="K13" s="9"/>
      <c r="L13" s="9"/>
      <c r="M13" s="9"/>
    </row>
    <row r="14" spans="1:13">
      <c r="A14" s="6">
        <v>-19</v>
      </c>
      <c r="B14" s="6">
        <v>0</v>
      </c>
      <c r="C14" s="7">
        <f t="shared" si="0"/>
        <v>278.19741312865926</v>
      </c>
      <c r="D14" s="6">
        <f t="shared" si="1"/>
        <v>196.39482625731853</v>
      </c>
      <c r="E14" s="6">
        <f t="shared" si="2"/>
        <v>114.59223938597734</v>
      </c>
      <c r="F14" s="6">
        <v>0</v>
      </c>
      <c r="G14" s="6">
        <f t="shared" si="4"/>
        <v>275.625</v>
      </c>
      <c r="H14" s="6">
        <f t="shared" si="3"/>
        <v>196.875</v>
      </c>
      <c r="I14" s="6">
        <f t="shared" si="3"/>
        <v>112.5</v>
      </c>
      <c r="J14" s="6">
        <v>0</v>
      </c>
      <c r="K14" s="10"/>
      <c r="L14" s="11"/>
      <c r="M14" s="9"/>
    </row>
    <row r="15" spans="1:13">
      <c r="A15" s="6">
        <v>-18</v>
      </c>
      <c r="B15" s="6">
        <v>0</v>
      </c>
      <c r="C15" s="7">
        <f t="shared" si="0"/>
        <v>209.14968072554052</v>
      </c>
      <c r="D15" s="6">
        <f t="shared" si="1"/>
        <v>58.29936145108104</v>
      </c>
      <c r="E15" s="6">
        <f t="shared" si="2"/>
        <v>267.44904217662133</v>
      </c>
      <c r="F15" s="6">
        <v>0</v>
      </c>
      <c r="G15" s="6">
        <f t="shared" si="4"/>
        <v>208.125</v>
      </c>
      <c r="H15" s="6">
        <f t="shared" si="3"/>
        <v>56.25</v>
      </c>
      <c r="I15" s="6">
        <f t="shared" si="3"/>
        <v>270</v>
      </c>
      <c r="J15" s="6">
        <v>0</v>
      </c>
      <c r="K15" s="9"/>
      <c r="L15" s="9"/>
      <c r="M15" s="9"/>
    </row>
    <row r="16" spans="1:13">
      <c r="A16" s="6">
        <v>-17</v>
      </c>
      <c r="B16" s="6">
        <v>0</v>
      </c>
      <c r="C16" s="7">
        <f t="shared" si="0"/>
        <v>139.70926084139978</v>
      </c>
      <c r="D16" s="6">
        <f t="shared" si="1"/>
        <v>279.41852168279956</v>
      </c>
      <c r="E16" s="6">
        <f t="shared" si="2"/>
        <v>59.127782524199574</v>
      </c>
      <c r="F16" s="6">
        <v>0</v>
      </c>
      <c r="G16" s="6">
        <f t="shared" si="4"/>
        <v>140.625</v>
      </c>
      <c r="H16" s="6">
        <f t="shared" si="3"/>
        <v>281.25</v>
      </c>
      <c r="I16" s="6">
        <f t="shared" si="3"/>
        <v>61.875</v>
      </c>
      <c r="J16" s="6">
        <v>0</v>
      </c>
      <c r="K16" s="9"/>
      <c r="L16" s="9"/>
      <c r="M16" s="9"/>
    </row>
    <row r="17" spans="1:13">
      <c r="A17" s="6">
        <v>-16</v>
      </c>
      <c r="B17" s="6">
        <v>0</v>
      </c>
      <c r="C17" s="7">
        <f t="shared" si="0"/>
        <v>69.897305700817469</v>
      </c>
      <c r="D17" s="6">
        <f t="shared" si="1"/>
        <v>139.79461140163494</v>
      </c>
      <c r="E17" s="6">
        <f t="shared" si="2"/>
        <v>209.69191710245241</v>
      </c>
      <c r="F17" s="6">
        <v>0</v>
      </c>
      <c r="G17" s="6">
        <f t="shared" si="4"/>
        <v>67.5</v>
      </c>
      <c r="H17" s="6">
        <f t="shared" si="3"/>
        <v>140.625</v>
      </c>
      <c r="I17" s="6">
        <f t="shared" si="3"/>
        <v>208.125</v>
      </c>
      <c r="J17" s="6">
        <v>0</v>
      </c>
      <c r="K17" s="9"/>
      <c r="L17" s="9"/>
      <c r="M17" s="9"/>
    </row>
    <row r="18" spans="1:13">
      <c r="A18" s="6">
        <v>-15</v>
      </c>
      <c r="B18" s="6">
        <v>0</v>
      </c>
      <c r="C18" s="7">
        <f t="shared" si="0"/>
        <v>359.73508070161347</v>
      </c>
      <c r="D18" s="6">
        <f t="shared" si="1"/>
        <v>359.47016140322694</v>
      </c>
      <c r="E18" s="6">
        <f t="shared" si="2"/>
        <v>359.20524210484064</v>
      </c>
      <c r="F18" s="6">
        <v>0</v>
      </c>
      <c r="G18" s="6">
        <f t="shared" si="4"/>
        <v>0</v>
      </c>
      <c r="H18" s="6">
        <f t="shared" si="3"/>
        <v>0</v>
      </c>
      <c r="I18" s="6">
        <f t="shared" si="3"/>
        <v>0</v>
      </c>
      <c r="J18" s="6">
        <v>0</v>
      </c>
      <c r="K18" s="9"/>
      <c r="L18" s="9"/>
      <c r="M18" s="9"/>
    </row>
    <row r="19" spans="1:13">
      <c r="A19" s="6">
        <v>-14</v>
      </c>
      <c r="B19" s="6">
        <v>0</v>
      </c>
      <c r="C19" s="7">
        <f t="shared" si="0"/>
        <v>289.24395793719953</v>
      </c>
      <c r="D19" s="6">
        <f t="shared" si="1"/>
        <v>218.48791587439905</v>
      </c>
      <c r="E19" s="6">
        <f t="shared" si="2"/>
        <v>147.73187381159823</v>
      </c>
      <c r="F19" s="6">
        <v>0</v>
      </c>
      <c r="G19" s="6">
        <f t="shared" si="4"/>
        <v>286.875</v>
      </c>
      <c r="H19" s="6">
        <f t="shared" si="4"/>
        <v>219.375</v>
      </c>
      <c r="I19" s="6">
        <f t="shared" si="4"/>
        <v>146.25</v>
      </c>
      <c r="J19" s="6">
        <v>0</v>
      </c>
      <c r="K19" s="9"/>
      <c r="L19" s="9"/>
      <c r="M19" s="9"/>
    </row>
    <row r="20" spans="1:13">
      <c r="A20" s="6">
        <v>-13</v>
      </c>
      <c r="B20" s="6">
        <v>0</v>
      </c>
      <c r="C20" s="7">
        <f t="shared" si="0"/>
        <v>218.44540968643173</v>
      </c>
      <c r="D20" s="6">
        <f t="shared" si="1"/>
        <v>76.890819372863461</v>
      </c>
      <c r="E20" s="6">
        <f t="shared" si="2"/>
        <v>295.33622905929542</v>
      </c>
      <c r="F20" s="6">
        <v>0</v>
      </c>
      <c r="G20" s="6">
        <f t="shared" si="4"/>
        <v>219.375</v>
      </c>
      <c r="H20" s="6">
        <f t="shared" si="4"/>
        <v>78.75</v>
      </c>
      <c r="I20" s="6">
        <f t="shared" si="4"/>
        <v>298.125</v>
      </c>
      <c r="J20" s="6">
        <v>0</v>
      </c>
      <c r="K20" s="9"/>
      <c r="L20" s="9"/>
      <c r="M20" s="9"/>
    </row>
    <row r="21" spans="1:13">
      <c r="A21" s="6">
        <v>-12</v>
      </c>
      <c r="B21" s="6">
        <v>0</v>
      </c>
      <c r="C21" s="7">
        <f t="shared" si="0"/>
        <v>147.36100187294869</v>
      </c>
      <c r="D21" s="6">
        <f t="shared" si="1"/>
        <v>294.72200374589738</v>
      </c>
      <c r="E21" s="6">
        <f t="shared" si="2"/>
        <v>82.083005618846073</v>
      </c>
      <c r="F21" s="6">
        <v>0</v>
      </c>
      <c r="G21" s="6">
        <f t="shared" si="4"/>
        <v>146.25</v>
      </c>
      <c r="H21" s="6">
        <f t="shared" si="4"/>
        <v>292.5</v>
      </c>
      <c r="I21" s="6">
        <f t="shared" si="4"/>
        <v>84.375</v>
      </c>
      <c r="J21" s="6">
        <v>0</v>
      </c>
      <c r="K21" s="9"/>
      <c r="L21" s="9"/>
      <c r="M21" s="9"/>
    </row>
    <row r="22" spans="1:13">
      <c r="A22" s="6">
        <v>-11</v>
      </c>
      <c r="B22" s="6">
        <v>0</v>
      </c>
      <c r="C22" s="7">
        <f t="shared" si="0"/>
        <v>76.012387495980533</v>
      </c>
      <c r="D22" s="6">
        <f t="shared" si="1"/>
        <v>152.02477499196107</v>
      </c>
      <c r="E22" s="6">
        <f t="shared" si="2"/>
        <v>228.03716248794126</v>
      </c>
      <c r="F22" s="6">
        <v>0</v>
      </c>
      <c r="G22" s="6">
        <f t="shared" si="4"/>
        <v>78.75</v>
      </c>
      <c r="H22" s="6">
        <f t="shared" si="4"/>
        <v>151.875</v>
      </c>
      <c r="I22" s="6">
        <f t="shared" si="4"/>
        <v>230.625</v>
      </c>
      <c r="J22" s="6">
        <v>0</v>
      </c>
      <c r="K22" s="9"/>
      <c r="L22" s="9"/>
      <c r="M22" s="9"/>
    </row>
    <row r="23" spans="1:13">
      <c r="A23" s="6">
        <v>-10</v>
      </c>
      <c r="B23" s="6">
        <v>0</v>
      </c>
      <c r="C23" s="7">
        <f t="shared" si="0"/>
        <v>4.4213000346359195</v>
      </c>
      <c r="D23" s="6">
        <f t="shared" si="1"/>
        <v>8.8426000692718389</v>
      </c>
      <c r="E23" s="6">
        <f t="shared" si="2"/>
        <v>13.263900103907872</v>
      </c>
      <c r="F23" s="6">
        <v>0</v>
      </c>
      <c r="G23" s="6">
        <f t="shared" si="4"/>
        <v>5.625</v>
      </c>
      <c r="H23" s="6">
        <f t="shared" si="4"/>
        <v>11.25</v>
      </c>
      <c r="I23" s="6">
        <f t="shared" si="4"/>
        <v>11.25</v>
      </c>
      <c r="J23" s="6">
        <v>0</v>
      </c>
      <c r="K23" s="9"/>
      <c r="L23" s="9"/>
      <c r="M23" s="9"/>
    </row>
    <row r="24" spans="1:13">
      <c r="A24" s="6">
        <v>-9</v>
      </c>
      <c r="B24" s="6">
        <v>0</v>
      </c>
      <c r="C24" s="7">
        <f t="shared" si="0"/>
        <v>292.60954682767419</v>
      </c>
      <c r="D24" s="6">
        <f t="shared" si="1"/>
        <v>225.21909365534839</v>
      </c>
      <c r="E24" s="6">
        <f t="shared" si="2"/>
        <v>157.82864048302258</v>
      </c>
      <c r="F24" s="6">
        <v>0</v>
      </c>
      <c r="G24" s="6">
        <f t="shared" si="4"/>
        <v>292.5</v>
      </c>
      <c r="H24" s="6">
        <f t="shared" si="4"/>
        <v>225</v>
      </c>
      <c r="I24" s="6">
        <f t="shared" si="4"/>
        <v>157.5</v>
      </c>
      <c r="J24" s="6">
        <v>0</v>
      </c>
      <c r="K24" s="9"/>
      <c r="L24" s="9"/>
      <c r="M24" s="9"/>
    </row>
    <row r="25" spans="1:13">
      <c r="A25" s="6">
        <v>-8</v>
      </c>
      <c r="B25" s="6">
        <v>0</v>
      </c>
      <c r="C25" s="7">
        <f t="shared" si="0"/>
        <v>220.599002430778</v>
      </c>
      <c r="D25" s="6">
        <f t="shared" si="1"/>
        <v>81.198004861556001</v>
      </c>
      <c r="E25" s="6">
        <f t="shared" si="2"/>
        <v>301.79700729233377</v>
      </c>
      <c r="F25" s="6">
        <v>0</v>
      </c>
      <c r="G25" s="6">
        <f t="shared" si="4"/>
        <v>219.375</v>
      </c>
      <c r="H25" s="6">
        <f t="shared" si="4"/>
        <v>78.75</v>
      </c>
      <c r="I25" s="6">
        <f t="shared" si="4"/>
        <v>303.75</v>
      </c>
      <c r="J25" s="6">
        <v>0</v>
      </c>
      <c r="K25" s="9"/>
      <c r="L25" s="9"/>
      <c r="M25" s="9"/>
    </row>
    <row r="26" spans="1:13">
      <c r="A26" s="6">
        <v>-7</v>
      </c>
      <c r="B26" s="6">
        <v>0</v>
      </c>
      <c r="C26" s="7">
        <f t="shared" si="0"/>
        <v>148.41160195335249</v>
      </c>
      <c r="D26" s="6">
        <f t="shared" si="1"/>
        <v>296.82320390670498</v>
      </c>
      <c r="E26" s="6">
        <f t="shared" si="2"/>
        <v>85.234805860057349</v>
      </c>
      <c r="F26" s="6">
        <v>0</v>
      </c>
      <c r="G26" s="6">
        <f t="shared" si="4"/>
        <v>146.25</v>
      </c>
      <c r="H26" s="6">
        <f t="shared" si="4"/>
        <v>298.125</v>
      </c>
      <c r="I26" s="6">
        <f t="shared" si="4"/>
        <v>84.375</v>
      </c>
      <c r="J26" s="6">
        <v>0</v>
      </c>
      <c r="K26" s="9"/>
      <c r="L26" s="9"/>
      <c r="M26" s="9"/>
    </row>
    <row r="27" spans="1:13">
      <c r="A27" s="6">
        <v>-6</v>
      </c>
      <c r="B27" s="6">
        <v>0</v>
      </c>
      <c r="C27" s="7">
        <f t="shared" si="0"/>
        <v>76.069334376878317</v>
      </c>
      <c r="D27" s="6">
        <f t="shared" si="1"/>
        <v>152.13866875375663</v>
      </c>
      <c r="E27" s="6">
        <f t="shared" si="2"/>
        <v>228.20800313063478</v>
      </c>
      <c r="F27" s="6">
        <v>0</v>
      </c>
      <c r="G27" s="6">
        <f t="shared" si="4"/>
        <v>78.75</v>
      </c>
      <c r="H27" s="6">
        <f t="shared" si="4"/>
        <v>151.875</v>
      </c>
      <c r="I27" s="6">
        <f t="shared" si="4"/>
        <v>230.625</v>
      </c>
      <c r="J27" s="6">
        <v>0</v>
      </c>
      <c r="K27" s="9"/>
      <c r="L27" s="9"/>
      <c r="M27" s="9"/>
    </row>
    <row r="28" spans="1:13">
      <c r="A28" s="6">
        <v>-5</v>
      </c>
      <c r="B28" s="6">
        <v>0</v>
      </c>
      <c r="C28" s="7">
        <f t="shared" si="0"/>
        <v>3.594235856854425</v>
      </c>
      <c r="D28" s="6">
        <f t="shared" si="1"/>
        <v>7.1884717137088501</v>
      </c>
      <c r="E28" s="6">
        <f t="shared" si="2"/>
        <v>10.782707570563161</v>
      </c>
      <c r="F28" s="6">
        <v>0</v>
      </c>
      <c r="G28" s="6">
        <f t="shared" si="4"/>
        <v>5.625</v>
      </c>
      <c r="H28" s="6">
        <f t="shared" si="4"/>
        <v>5.625</v>
      </c>
      <c r="I28" s="6">
        <f t="shared" si="4"/>
        <v>11.25</v>
      </c>
      <c r="J28" s="6">
        <v>0</v>
      </c>
      <c r="K28" s="9"/>
      <c r="L28" s="9"/>
      <c r="M28" s="9"/>
    </row>
    <row r="29" spans="1:13">
      <c r="A29" s="6">
        <v>-4</v>
      </c>
      <c r="B29" s="6">
        <v>0</v>
      </c>
      <c r="C29" s="7">
        <f t="shared" si="0"/>
        <v>291.00838301037209</v>
      </c>
      <c r="D29" s="6">
        <f t="shared" si="1"/>
        <v>222.01676602074417</v>
      </c>
      <c r="E29" s="6">
        <f t="shared" si="2"/>
        <v>153.02514903111626</v>
      </c>
      <c r="F29" s="6">
        <v>0</v>
      </c>
      <c r="G29" s="6">
        <f t="shared" si="4"/>
        <v>292.5</v>
      </c>
      <c r="H29" s="6">
        <f t="shared" si="4"/>
        <v>219.375</v>
      </c>
      <c r="I29" s="6">
        <f t="shared" si="4"/>
        <v>151.875</v>
      </c>
      <c r="J29" s="6">
        <v>0</v>
      </c>
      <c r="K29" s="9"/>
      <c r="L29" s="9"/>
      <c r="M29" s="9"/>
    </row>
    <row r="30" spans="1:13">
      <c r="A30" s="6">
        <v>-3</v>
      </c>
      <c r="B30" s="6">
        <v>0</v>
      </c>
      <c r="C30" s="7">
        <f t="shared" si="0"/>
        <v>218.33388619136323</v>
      </c>
      <c r="D30" s="6">
        <f t="shared" si="1"/>
        <v>76.667772382726469</v>
      </c>
      <c r="E30" s="6">
        <f t="shared" si="2"/>
        <v>295.00165857408967</v>
      </c>
      <c r="F30" s="6">
        <v>0</v>
      </c>
      <c r="G30" s="6">
        <f t="shared" si="4"/>
        <v>219.375</v>
      </c>
      <c r="H30" s="6">
        <f t="shared" si="4"/>
        <v>78.75</v>
      </c>
      <c r="I30" s="6">
        <f t="shared" si="4"/>
        <v>292.5</v>
      </c>
      <c r="J30" s="6">
        <v>0</v>
      </c>
      <c r="K30" s="9"/>
      <c r="L30" s="9"/>
      <c r="M30" s="9"/>
    </row>
    <row r="31" spans="1:13">
      <c r="A31" s="6">
        <v>-2</v>
      </c>
      <c r="B31" s="6">
        <v>0</v>
      </c>
      <c r="C31" s="7">
        <f t="shared" si="0"/>
        <v>145.5928827555727</v>
      </c>
      <c r="D31" s="6">
        <f t="shared" si="1"/>
        <v>291.18576551114541</v>
      </c>
      <c r="E31" s="6">
        <f t="shared" si="2"/>
        <v>76.778648266718051</v>
      </c>
      <c r="F31" s="6">
        <v>0</v>
      </c>
      <c r="G31" s="6">
        <f t="shared" si="4"/>
        <v>146.25</v>
      </c>
      <c r="H31" s="6">
        <f t="shared" si="4"/>
        <v>292.5</v>
      </c>
      <c r="I31" s="6">
        <f t="shared" si="4"/>
        <v>78.75</v>
      </c>
      <c r="J31" s="6">
        <v>0</v>
      </c>
      <c r="K31" s="9"/>
      <c r="L31" s="9"/>
      <c r="M31" s="9"/>
    </row>
    <row r="32" spans="1:13">
      <c r="A32" s="6">
        <v>-1</v>
      </c>
      <c r="B32" s="6">
        <v>0</v>
      </c>
      <c r="C32" s="7">
        <f t="shared" si="0"/>
        <v>72.807530317304852</v>
      </c>
      <c r="D32" s="6">
        <f t="shared" si="1"/>
        <v>145.6150606346097</v>
      </c>
      <c r="E32" s="6">
        <f t="shared" si="2"/>
        <v>218.42259095191457</v>
      </c>
      <c r="F32" s="1">
        <v>0</v>
      </c>
      <c r="G32" s="6">
        <f t="shared" si="4"/>
        <v>73.125</v>
      </c>
      <c r="H32" s="6">
        <f t="shared" si="4"/>
        <v>146.25</v>
      </c>
      <c r="I32" s="6">
        <f t="shared" si="4"/>
        <v>219.375</v>
      </c>
      <c r="J32" s="1">
        <v>0</v>
      </c>
      <c r="K32" s="9"/>
      <c r="L32" s="9"/>
      <c r="M32" s="9"/>
    </row>
    <row r="33" spans="1:13">
      <c r="A33" s="6">
        <v>0</v>
      </c>
      <c r="B33" s="6">
        <v>0</v>
      </c>
      <c r="C33" s="7">
        <f t="shared" si="0"/>
        <v>0</v>
      </c>
      <c r="D33" s="6">
        <f t="shared" si="1"/>
        <v>0</v>
      </c>
      <c r="E33" s="6">
        <f t="shared" si="2"/>
        <v>0</v>
      </c>
      <c r="F33" s="6">
        <v>0</v>
      </c>
      <c r="G33" s="6">
        <f t="shared" si="4"/>
        <v>0</v>
      </c>
      <c r="H33" s="6">
        <f t="shared" si="4"/>
        <v>0</v>
      </c>
      <c r="I33" s="6">
        <f t="shared" si="4"/>
        <v>0</v>
      </c>
      <c r="J33" s="6">
        <v>0</v>
      </c>
      <c r="K33" s="9"/>
      <c r="L33" s="9"/>
      <c r="M33" s="9"/>
    </row>
    <row r="34" spans="1:13">
      <c r="A34" s="6">
        <v>1</v>
      </c>
      <c r="B34" s="6">
        <v>0</v>
      </c>
      <c r="C34" s="7">
        <f t="shared" si="0"/>
        <v>287.19246968269516</v>
      </c>
      <c r="D34" s="6">
        <f t="shared" si="1"/>
        <v>214.3849393653903</v>
      </c>
      <c r="E34" s="6">
        <f t="shared" si="2"/>
        <v>141.57740904808543</v>
      </c>
      <c r="F34" s="6">
        <v>0</v>
      </c>
      <c r="G34" s="6">
        <f t="shared" si="4"/>
        <v>286.875</v>
      </c>
      <c r="H34" s="6">
        <f t="shared" si="4"/>
        <v>213.75</v>
      </c>
      <c r="I34" s="6">
        <f t="shared" si="4"/>
        <v>140.625</v>
      </c>
      <c r="J34" s="6">
        <v>0</v>
      </c>
      <c r="K34" s="9"/>
      <c r="L34" s="9"/>
      <c r="M34" s="9"/>
    </row>
    <row r="35" spans="1:13">
      <c r="A35" s="6">
        <v>2</v>
      </c>
      <c r="B35" s="6">
        <v>0</v>
      </c>
      <c r="C35" s="7">
        <f t="shared" ref="C35:C63" si="5">MOD(-180*Freq*15.52*2*SIN(A35*PI()/180)/300,360)</f>
        <v>214.4071172444273</v>
      </c>
      <c r="D35" s="6">
        <f t="shared" ref="D35:D63" si="6">MOD(-180*Freq*2*15.52*2*SIN(A35*PI()/180)/300,360)</f>
        <v>68.814234488854595</v>
      </c>
      <c r="E35" s="6">
        <f t="shared" ref="E35:E63" si="7">MOD(-180*Freq*3*15.52*2*SIN(A35*PI()/180)/300,360)</f>
        <v>283.22135173328195</v>
      </c>
      <c r="F35" s="6">
        <v>0</v>
      </c>
      <c r="G35" s="6">
        <f t="shared" si="4"/>
        <v>213.75</v>
      </c>
      <c r="H35" s="6">
        <f t="shared" si="4"/>
        <v>67.5</v>
      </c>
      <c r="I35" s="6">
        <f t="shared" si="4"/>
        <v>281.25</v>
      </c>
      <c r="J35" s="6">
        <v>0</v>
      </c>
      <c r="K35" s="9"/>
      <c r="L35" s="9"/>
      <c r="M35" s="9"/>
    </row>
    <row r="36" spans="1:13">
      <c r="A36" s="6">
        <v>3</v>
      </c>
      <c r="B36" s="6">
        <v>0</v>
      </c>
      <c r="C36" s="7">
        <f t="shared" si="5"/>
        <v>141.66611380863677</v>
      </c>
      <c r="D36" s="6">
        <f t="shared" si="6"/>
        <v>283.33222761727353</v>
      </c>
      <c r="E36" s="6">
        <f t="shared" si="7"/>
        <v>64.998341425910326</v>
      </c>
      <c r="F36" s="6">
        <v>0</v>
      </c>
      <c r="G36" s="6">
        <f t="shared" si="4"/>
        <v>140.625</v>
      </c>
      <c r="H36" s="6">
        <f t="shared" si="4"/>
        <v>281.25</v>
      </c>
      <c r="I36" s="6">
        <f t="shared" si="4"/>
        <v>67.5</v>
      </c>
      <c r="J36" s="6">
        <v>0</v>
      </c>
      <c r="K36" s="9"/>
      <c r="L36" s="9"/>
      <c r="M36" s="9"/>
    </row>
    <row r="37" spans="1:13">
      <c r="A37" s="6">
        <v>4</v>
      </c>
      <c r="B37" s="6">
        <v>0</v>
      </c>
      <c r="C37" s="7">
        <f t="shared" si="5"/>
        <v>68.991616989627914</v>
      </c>
      <c r="D37" s="6">
        <f t="shared" si="6"/>
        <v>137.98323397925583</v>
      </c>
      <c r="E37" s="6">
        <f t="shared" si="7"/>
        <v>206.97485096888374</v>
      </c>
      <c r="F37" s="6">
        <v>0</v>
      </c>
      <c r="G37" s="6">
        <f t="shared" si="4"/>
        <v>67.5</v>
      </c>
      <c r="H37" s="6">
        <f t="shared" si="4"/>
        <v>140.625</v>
      </c>
      <c r="I37" s="6">
        <f t="shared" si="4"/>
        <v>208.125</v>
      </c>
      <c r="J37" s="6">
        <v>0</v>
      </c>
      <c r="K37" s="9"/>
      <c r="L37" s="9"/>
      <c r="M37" s="9"/>
    </row>
    <row r="38" spans="1:13">
      <c r="A38" s="6">
        <v>5</v>
      </c>
      <c r="B38" s="6">
        <v>0</v>
      </c>
      <c r="C38" s="7">
        <f t="shared" si="5"/>
        <v>356.40576414314557</v>
      </c>
      <c r="D38" s="6">
        <f t="shared" si="6"/>
        <v>352.81152828629115</v>
      </c>
      <c r="E38" s="6">
        <f t="shared" si="7"/>
        <v>349.21729242943684</v>
      </c>
      <c r="F38" s="6">
        <v>0</v>
      </c>
      <c r="G38" s="6">
        <f t="shared" si="4"/>
        <v>354.375</v>
      </c>
      <c r="H38" s="6">
        <f t="shared" si="4"/>
        <v>354.375</v>
      </c>
      <c r="I38" s="6">
        <f t="shared" si="4"/>
        <v>348.75</v>
      </c>
      <c r="J38" s="6">
        <v>0</v>
      </c>
      <c r="K38" s="9"/>
      <c r="L38" s="9"/>
      <c r="M38" s="9"/>
    </row>
    <row r="39" spans="1:13">
      <c r="A39" s="6">
        <v>6</v>
      </c>
      <c r="B39" s="6">
        <v>0</v>
      </c>
      <c r="C39" s="7">
        <f t="shared" si="5"/>
        <v>283.93066562312168</v>
      </c>
      <c r="D39" s="6">
        <f t="shared" si="6"/>
        <v>207.86133124624337</v>
      </c>
      <c r="E39" s="6">
        <f t="shared" si="7"/>
        <v>131.79199686936522</v>
      </c>
      <c r="F39" s="6">
        <v>0</v>
      </c>
      <c r="G39" s="6">
        <f t="shared" si="4"/>
        <v>281.25</v>
      </c>
      <c r="H39" s="6">
        <f t="shared" si="4"/>
        <v>208.125</v>
      </c>
      <c r="I39" s="6">
        <f t="shared" si="4"/>
        <v>129.375</v>
      </c>
      <c r="J39" s="6">
        <v>0</v>
      </c>
      <c r="K39" s="10"/>
      <c r="L39" s="11"/>
      <c r="M39" s="9"/>
    </row>
    <row r="40" spans="1:13">
      <c r="A40" s="6">
        <v>7</v>
      </c>
      <c r="B40" s="6">
        <v>0</v>
      </c>
      <c r="C40" s="7">
        <f t="shared" si="5"/>
        <v>211.58839804664751</v>
      </c>
      <c r="D40" s="6">
        <f t="shared" si="6"/>
        <v>63.176796093295025</v>
      </c>
      <c r="E40" s="6">
        <f t="shared" si="7"/>
        <v>274.76519413994265</v>
      </c>
      <c r="F40" s="6">
        <v>0</v>
      </c>
      <c r="G40" s="6">
        <f t="shared" si="4"/>
        <v>213.75</v>
      </c>
      <c r="H40" s="6">
        <f t="shared" si="4"/>
        <v>61.875</v>
      </c>
      <c r="I40" s="6">
        <f t="shared" si="4"/>
        <v>275.625</v>
      </c>
      <c r="J40" s="6">
        <v>0</v>
      </c>
      <c r="K40" s="9"/>
      <c r="L40" s="9"/>
      <c r="M40" s="9"/>
    </row>
    <row r="41" spans="1:13">
      <c r="A41" s="6">
        <v>8</v>
      </c>
      <c r="B41" s="6">
        <v>0</v>
      </c>
      <c r="C41" s="7">
        <f t="shared" si="5"/>
        <v>139.400997569222</v>
      </c>
      <c r="D41" s="6">
        <f t="shared" si="6"/>
        <v>278.801995138444</v>
      </c>
      <c r="E41" s="6">
        <f t="shared" si="7"/>
        <v>58.202992707666226</v>
      </c>
      <c r="F41" s="6">
        <v>0</v>
      </c>
      <c r="G41" s="6">
        <f t="shared" si="4"/>
        <v>140.625</v>
      </c>
      <c r="H41" s="6">
        <f t="shared" si="4"/>
        <v>281.25</v>
      </c>
      <c r="I41" s="6">
        <f t="shared" si="4"/>
        <v>56.25</v>
      </c>
      <c r="J41" s="6">
        <v>0</v>
      </c>
      <c r="K41" s="9"/>
      <c r="L41" s="9"/>
      <c r="M41" s="9"/>
    </row>
    <row r="42" spans="1:13">
      <c r="A42" s="6">
        <v>9</v>
      </c>
      <c r="B42" s="6">
        <v>0</v>
      </c>
      <c r="C42" s="7">
        <f t="shared" si="5"/>
        <v>67.390453172325806</v>
      </c>
      <c r="D42" s="6">
        <f t="shared" si="6"/>
        <v>134.78090634465161</v>
      </c>
      <c r="E42" s="6">
        <f t="shared" si="7"/>
        <v>202.17135951697742</v>
      </c>
      <c r="F42" s="6">
        <v>0</v>
      </c>
      <c r="G42" s="6">
        <f t="shared" si="4"/>
        <v>67.5</v>
      </c>
      <c r="H42" s="6">
        <f t="shared" si="4"/>
        <v>135</v>
      </c>
      <c r="I42" s="6">
        <f t="shared" si="4"/>
        <v>202.5</v>
      </c>
      <c r="J42" s="6">
        <v>0</v>
      </c>
      <c r="K42" s="9"/>
      <c r="L42" s="9"/>
      <c r="M42" s="9"/>
    </row>
    <row r="43" spans="1:13">
      <c r="A43" s="6">
        <v>10</v>
      </c>
      <c r="B43" s="6">
        <v>0</v>
      </c>
      <c r="C43" s="7">
        <f t="shared" si="5"/>
        <v>355.57869996536408</v>
      </c>
      <c r="D43" s="6">
        <f t="shared" si="6"/>
        <v>351.15739993072816</v>
      </c>
      <c r="E43" s="6">
        <f t="shared" si="7"/>
        <v>346.73609989609213</v>
      </c>
      <c r="F43" s="6">
        <v>0</v>
      </c>
      <c r="G43" s="6">
        <f t="shared" si="4"/>
        <v>354.375</v>
      </c>
      <c r="H43" s="6">
        <f t="shared" si="4"/>
        <v>348.75</v>
      </c>
      <c r="I43" s="6">
        <f t="shared" si="4"/>
        <v>348.75</v>
      </c>
      <c r="J43" s="6">
        <v>0</v>
      </c>
      <c r="K43" s="9"/>
      <c r="L43" s="9"/>
      <c r="M43" s="9"/>
    </row>
    <row r="44" spans="1:13">
      <c r="A44" s="6">
        <v>11</v>
      </c>
      <c r="B44" s="6">
        <v>0</v>
      </c>
      <c r="C44" s="7">
        <f t="shared" si="5"/>
        <v>283.98761250401947</v>
      </c>
      <c r="D44" s="6">
        <f t="shared" si="6"/>
        <v>207.97522500803893</v>
      </c>
      <c r="E44" s="6">
        <f t="shared" si="7"/>
        <v>131.96283751205874</v>
      </c>
      <c r="F44" s="6">
        <v>0</v>
      </c>
      <c r="G44" s="6">
        <f t="shared" si="4"/>
        <v>281.25</v>
      </c>
      <c r="H44" s="6">
        <f t="shared" si="4"/>
        <v>208.125</v>
      </c>
      <c r="I44" s="6">
        <f t="shared" si="4"/>
        <v>129.375</v>
      </c>
      <c r="J44" s="6">
        <v>0</v>
      </c>
      <c r="K44" s="9"/>
      <c r="L44" s="9"/>
      <c r="M44" s="9"/>
    </row>
    <row r="45" spans="1:13">
      <c r="A45" s="6">
        <v>12</v>
      </c>
      <c r="B45" s="6">
        <v>0</v>
      </c>
      <c r="C45" s="7">
        <f t="shared" si="5"/>
        <v>212.63899812705131</v>
      </c>
      <c r="D45" s="6">
        <f t="shared" si="6"/>
        <v>65.277996254102618</v>
      </c>
      <c r="E45" s="6">
        <f t="shared" si="7"/>
        <v>277.91699438115393</v>
      </c>
      <c r="F45" s="6">
        <v>0</v>
      </c>
      <c r="G45" s="6">
        <f t="shared" si="4"/>
        <v>213.75</v>
      </c>
      <c r="H45" s="6">
        <f t="shared" si="4"/>
        <v>67.5</v>
      </c>
      <c r="I45" s="6">
        <f t="shared" si="4"/>
        <v>275.625</v>
      </c>
      <c r="J45" s="6">
        <v>0</v>
      </c>
      <c r="K45" s="10"/>
      <c r="L45" s="11"/>
      <c r="M45" s="9"/>
    </row>
    <row r="46" spans="1:13">
      <c r="A46" s="6">
        <v>13</v>
      </c>
      <c r="B46" s="6">
        <v>0</v>
      </c>
      <c r="C46" s="7">
        <f t="shared" si="5"/>
        <v>141.55459031356827</v>
      </c>
      <c r="D46" s="6">
        <f t="shared" si="6"/>
        <v>283.10918062713654</v>
      </c>
      <c r="E46" s="6">
        <f t="shared" si="7"/>
        <v>64.66377094070458</v>
      </c>
      <c r="F46" s="6">
        <v>0</v>
      </c>
      <c r="G46" s="6">
        <f t="shared" si="4"/>
        <v>140.625</v>
      </c>
      <c r="H46" s="6">
        <f t="shared" si="4"/>
        <v>281.25</v>
      </c>
      <c r="I46" s="6">
        <f t="shared" si="4"/>
        <v>61.875</v>
      </c>
      <c r="J46" s="6">
        <v>0</v>
      </c>
      <c r="K46" s="9"/>
      <c r="L46" s="9"/>
      <c r="M46" s="9"/>
    </row>
    <row r="47" spans="1:13">
      <c r="A47" s="6">
        <v>14</v>
      </c>
      <c r="B47" s="6">
        <v>0</v>
      </c>
      <c r="C47" s="7">
        <f t="shared" si="5"/>
        <v>70.756042062800475</v>
      </c>
      <c r="D47" s="6">
        <f t="shared" si="6"/>
        <v>141.51208412560095</v>
      </c>
      <c r="E47" s="6">
        <f t="shared" si="7"/>
        <v>212.26812618840177</v>
      </c>
      <c r="F47" s="6">
        <v>0</v>
      </c>
      <c r="G47" s="6">
        <f t="shared" si="4"/>
        <v>73.125</v>
      </c>
      <c r="H47" s="6">
        <f t="shared" si="4"/>
        <v>140.625</v>
      </c>
      <c r="I47" s="6">
        <f t="shared" si="4"/>
        <v>213.75</v>
      </c>
      <c r="J47" s="6">
        <v>0</v>
      </c>
      <c r="K47" s="9"/>
      <c r="L47" s="9"/>
      <c r="M47" s="9"/>
    </row>
    <row r="48" spans="1:13">
      <c r="A48" s="6">
        <v>15</v>
      </c>
      <c r="B48" s="6">
        <v>0</v>
      </c>
      <c r="C48" s="7">
        <f t="shared" si="5"/>
        <v>0.2649192983865305</v>
      </c>
      <c r="D48" s="6">
        <f t="shared" si="6"/>
        <v>0.529838596773061</v>
      </c>
      <c r="E48" s="6">
        <f t="shared" si="7"/>
        <v>0.79475789515936412</v>
      </c>
      <c r="F48" s="6">
        <v>0</v>
      </c>
      <c r="G48" s="6">
        <f t="shared" si="4"/>
        <v>0</v>
      </c>
      <c r="H48" s="6">
        <f t="shared" si="4"/>
        <v>0</v>
      </c>
      <c r="I48" s="6">
        <f t="shared" si="4"/>
        <v>0</v>
      </c>
      <c r="J48" s="6">
        <v>0</v>
      </c>
      <c r="K48" s="9"/>
      <c r="L48" s="9"/>
      <c r="M48" s="9"/>
    </row>
    <row r="49" spans="1:13">
      <c r="A49" s="6">
        <v>16</v>
      </c>
      <c r="B49" s="6">
        <v>0</v>
      </c>
      <c r="C49" s="7">
        <f t="shared" si="5"/>
        <v>290.10269429918253</v>
      </c>
      <c r="D49" s="6">
        <f t="shared" si="6"/>
        <v>220.20538859836506</v>
      </c>
      <c r="E49" s="6">
        <f t="shared" si="7"/>
        <v>150.30808289754759</v>
      </c>
      <c r="F49" s="6">
        <v>0</v>
      </c>
      <c r="G49" s="6">
        <f t="shared" si="4"/>
        <v>292.5</v>
      </c>
      <c r="H49" s="6">
        <f t="shared" si="4"/>
        <v>219.375</v>
      </c>
      <c r="I49" s="6">
        <f t="shared" si="4"/>
        <v>151.875</v>
      </c>
      <c r="J49" s="6">
        <v>0</v>
      </c>
      <c r="K49" s="9"/>
      <c r="L49" s="9"/>
      <c r="M49" s="9"/>
    </row>
    <row r="50" spans="1:13">
      <c r="A50" s="6">
        <v>17</v>
      </c>
      <c r="B50" s="6">
        <v>0</v>
      </c>
      <c r="C50" s="7">
        <f t="shared" si="5"/>
        <v>220.29073915860022</v>
      </c>
      <c r="D50" s="6">
        <f t="shared" si="6"/>
        <v>80.581478317200435</v>
      </c>
      <c r="E50" s="6">
        <f t="shared" si="7"/>
        <v>300.87221747580043</v>
      </c>
      <c r="F50" s="6">
        <v>0</v>
      </c>
      <c r="G50" s="6">
        <f t="shared" si="4"/>
        <v>219.375</v>
      </c>
      <c r="H50" s="6">
        <f t="shared" si="4"/>
        <v>78.75</v>
      </c>
      <c r="I50" s="6">
        <f t="shared" si="4"/>
        <v>298.125</v>
      </c>
      <c r="J50" s="6">
        <v>0</v>
      </c>
      <c r="K50" s="9"/>
      <c r="L50" s="9"/>
      <c r="M50" s="9"/>
    </row>
    <row r="51" spans="1:13">
      <c r="A51" s="6">
        <v>18</v>
      </c>
      <c r="B51" s="6">
        <v>0</v>
      </c>
      <c r="C51" s="7">
        <f t="shared" si="5"/>
        <v>150.85031927445948</v>
      </c>
      <c r="D51" s="6">
        <f t="shared" si="6"/>
        <v>301.70063854891896</v>
      </c>
      <c r="E51" s="6">
        <f t="shared" si="7"/>
        <v>92.550957823378667</v>
      </c>
      <c r="F51" s="6">
        <v>0</v>
      </c>
      <c r="G51" s="6">
        <f t="shared" si="4"/>
        <v>151.875</v>
      </c>
      <c r="H51" s="6">
        <f t="shared" si="4"/>
        <v>303.75</v>
      </c>
      <c r="I51" s="6">
        <f t="shared" si="4"/>
        <v>90</v>
      </c>
      <c r="J51" s="6">
        <v>0</v>
      </c>
      <c r="K51" s="9"/>
      <c r="L51" s="9"/>
      <c r="M51" s="9"/>
    </row>
    <row r="52" spans="1:13">
      <c r="A52" s="6">
        <v>19</v>
      </c>
      <c r="B52" s="6">
        <v>0</v>
      </c>
      <c r="C52" s="7">
        <f t="shared" si="5"/>
        <v>81.802586871340736</v>
      </c>
      <c r="D52" s="6">
        <f t="shared" si="6"/>
        <v>163.60517374268147</v>
      </c>
      <c r="E52" s="6">
        <f t="shared" si="7"/>
        <v>245.40776061402266</v>
      </c>
      <c r="F52" s="6">
        <v>0</v>
      </c>
      <c r="G52" s="6">
        <f t="shared" si="4"/>
        <v>84.375</v>
      </c>
      <c r="H52" s="6">
        <f t="shared" si="4"/>
        <v>163.125</v>
      </c>
      <c r="I52" s="6">
        <f t="shared" si="4"/>
        <v>247.5</v>
      </c>
      <c r="J52" s="6">
        <v>0</v>
      </c>
      <c r="K52" s="9"/>
      <c r="L52" s="9"/>
      <c r="M52" s="9"/>
    </row>
    <row r="53" spans="1:13">
      <c r="A53" s="6">
        <v>20</v>
      </c>
      <c r="B53" s="6">
        <v>0</v>
      </c>
      <c r="C53" s="7">
        <f t="shared" si="5"/>
        <v>13.168574557415013</v>
      </c>
      <c r="D53" s="6">
        <f t="shared" si="6"/>
        <v>26.337149114830027</v>
      </c>
      <c r="E53" s="6">
        <f t="shared" si="7"/>
        <v>39.50572367224504</v>
      </c>
      <c r="F53" s="6">
        <v>0</v>
      </c>
      <c r="G53" s="6">
        <f t="shared" si="4"/>
        <v>11.25</v>
      </c>
      <c r="H53" s="6">
        <f t="shared" si="4"/>
        <v>28.125</v>
      </c>
      <c r="I53" s="6">
        <f t="shared" si="4"/>
        <v>39.375</v>
      </c>
      <c r="J53" s="6">
        <v>0</v>
      </c>
      <c r="K53" s="9"/>
      <c r="L53" s="9"/>
      <c r="M53" s="9"/>
    </row>
    <row r="54" spans="1:13">
      <c r="A54" s="6">
        <v>21</v>
      </c>
      <c r="B54" s="6">
        <v>0</v>
      </c>
      <c r="C54" s="7">
        <f t="shared" si="5"/>
        <v>304.96918891770542</v>
      </c>
      <c r="D54" s="6">
        <f t="shared" si="6"/>
        <v>249.93837783541085</v>
      </c>
      <c r="E54" s="6">
        <f t="shared" si="7"/>
        <v>194.90756675311695</v>
      </c>
      <c r="F54" s="6">
        <v>0</v>
      </c>
      <c r="G54" s="6">
        <f t="shared" si="4"/>
        <v>303.75</v>
      </c>
      <c r="H54" s="6">
        <f t="shared" si="4"/>
        <v>247.5</v>
      </c>
      <c r="I54" s="6">
        <f t="shared" si="4"/>
        <v>196.875</v>
      </c>
      <c r="J54" s="6">
        <v>0</v>
      </c>
      <c r="K54" s="9"/>
      <c r="L54" s="9"/>
      <c r="M54" s="9"/>
    </row>
    <row r="55" spans="1:13">
      <c r="A55" s="6">
        <v>22</v>
      </c>
      <c r="B55" s="6">
        <v>0</v>
      </c>
      <c r="C55" s="7">
        <f t="shared" si="5"/>
        <v>237.22520414574024</v>
      </c>
      <c r="D55" s="6">
        <f t="shared" si="6"/>
        <v>114.45040829148047</v>
      </c>
      <c r="E55" s="6">
        <f t="shared" si="7"/>
        <v>351.67561243722048</v>
      </c>
      <c r="F55" s="6">
        <v>0</v>
      </c>
      <c r="G55" s="6">
        <f t="shared" si="4"/>
        <v>236.25</v>
      </c>
      <c r="H55" s="6">
        <f t="shared" si="4"/>
        <v>112.5</v>
      </c>
      <c r="I55" s="6">
        <f t="shared" si="4"/>
        <v>354.375</v>
      </c>
      <c r="J55" s="6">
        <v>0</v>
      </c>
      <c r="K55" s="9"/>
      <c r="L55" s="9"/>
      <c r="M55" s="9"/>
    </row>
    <row r="56" spans="1:13">
      <c r="A56" s="6">
        <v>23</v>
      </c>
      <c r="B56" s="6">
        <v>0</v>
      </c>
      <c r="C56" s="7">
        <f t="shared" si="5"/>
        <v>169.95725571553157</v>
      </c>
      <c r="D56" s="6">
        <f t="shared" si="6"/>
        <v>339.91451143106315</v>
      </c>
      <c r="E56" s="6">
        <f t="shared" si="7"/>
        <v>149.87176714659472</v>
      </c>
      <c r="F56" s="6">
        <v>0</v>
      </c>
      <c r="G56" s="6">
        <f t="shared" si="4"/>
        <v>168.75</v>
      </c>
      <c r="H56" s="6">
        <f t="shared" si="4"/>
        <v>337.5</v>
      </c>
      <c r="I56" s="6">
        <f t="shared" si="4"/>
        <v>151.875</v>
      </c>
      <c r="J56" s="6">
        <v>0</v>
      </c>
      <c r="K56" s="9"/>
      <c r="L56" s="9"/>
      <c r="M56" s="9"/>
    </row>
    <row r="57" spans="1:13">
      <c r="A57" s="6">
        <v>24</v>
      </c>
      <c r="B57" s="6">
        <v>0</v>
      </c>
      <c r="C57" s="7">
        <f t="shared" si="5"/>
        <v>103.18583409581061</v>
      </c>
      <c r="D57" s="6">
        <f t="shared" si="6"/>
        <v>206.37166819162121</v>
      </c>
      <c r="E57" s="6">
        <f t="shared" si="7"/>
        <v>309.55750228743182</v>
      </c>
      <c r="F57" s="6">
        <v>0</v>
      </c>
      <c r="G57" s="6">
        <f t="shared" si="4"/>
        <v>101.25</v>
      </c>
      <c r="H57" s="6">
        <f t="shared" si="4"/>
        <v>208.125</v>
      </c>
      <c r="I57" s="6">
        <f t="shared" si="4"/>
        <v>309.375</v>
      </c>
      <c r="J57" s="6">
        <v>0</v>
      </c>
      <c r="K57" s="9"/>
      <c r="L57" s="9"/>
      <c r="M57" s="9"/>
    </row>
    <row r="58" spans="1:13">
      <c r="A58" s="6">
        <v>25</v>
      </c>
      <c r="B58" s="6">
        <v>0</v>
      </c>
      <c r="C58" s="7">
        <f t="shared" si="5"/>
        <v>36.93127850843166</v>
      </c>
      <c r="D58" s="6">
        <f t="shared" si="6"/>
        <v>73.86255701686332</v>
      </c>
      <c r="E58" s="6">
        <f t="shared" si="7"/>
        <v>110.79383552529544</v>
      </c>
      <c r="F58" s="6">
        <v>0</v>
      </c>
      <c r="G58" s="6">
        <f t="shared" si="4"/>
        <v>39.375</v>
      </c>
      <c r="H58" s="6">
        <f t="shared" si="4"/>
        <v>73.125</v>
      </c>
      <c r="I58" s="6">
        <f t="shared" si="4"/>
        <v>112.5</v>
      </c>
      <c r="J58" s="6">
        <v>0</v>
      </c>
      <c r="K58" s="9"/>
      <c r="L58" s="9"/>
      <c r="M58" s="9"/>
    </row>
    <row r="59" spans="1:13">
      <c r="A59" s="6">
        <v>26</v>
      </c>
      <c r="B59" s="6">
        <v>0</v>
      </c>
      <c r="C59" s="7">
        <f t="shared" si="5"/>
        <v>331.21377073284975</v>
      </c>
      <c r="D59" s="6">
        <f t="shared" si="6"/>
        <v>302.42754146569951</v>
      </c>
      <c r="E59" s="6">
        <f t="shared" si="7"/>
        <v>273.64131219854971</v>
      </c>
      <c r="F59" s="6">
        <v>0</v>
      </c>
      <c r="G59" s="6">
        <f t="shared" si="4"/>
        <v>331.875</v>
      </c>
      <c r="H59" s="6">
        <f t="shared" si="4"/>
        <v>303.75</v>
      </c>
      <c r="I59" s="6">
        <f t="shared" si="4"/>
        <v>275.625</v>
      </c>
      <c r="J59" s="6">
        <v>0</v>
      </c>
      <c r="K59" s="9"/>
      <c r="L59" s="9"/>
      <c r="M59" s="9"/>
    </row>
    <row r="60" spans="1:13">
      <c r="A60" s="6">
        <v>27</v>
      </c>
      <c r="B60" s="6">
        <v>0</v>
      </c>
      <c r="C60" s="7">
        <f t="shared" si="5"/>
        <v>266.05332895855258</v>
      </c>
      <c r="D60" s="6">
        <f t="shared" si="6"/>
        <v>172.10665791710517</v>
      </c>
      <c r="E60" s="6">
        <f t="shared" si="7"/>
        <v>78.159986875657523</v>
      </c>
      <c r="F60" s="6">
        <v>0</v>
      </c>
      <c r="G60" s="6">
        <f t="shared" si="4"/>
        <v>264.375</v>
      </c>
      <c r="H60" s="6">
        <f t="shared" si="4"/>
        <v>174.375</v>
      </c>
      <c r="I60" s="6">
        <f t="shared" si="4"/>
        <v>78.75</v>
      </c>
      <c r="J60" s="6">
        <v>0</v>
      </c>
      <c r="K60" s="9"/>
      <c r="L60" s="9"/>
      <c r="M60" s="9"/>
    </row>
    <row r="61" spans="1:13">
      <c r="A61" s="6">
        <v>28</v>
      </c>
      <c r="B61" s="6">
        <v>0</v>
      </c>
      <c r="C61" s="7">
        <f t="shared" si="5"/>
        <v>201.46980168732739</v>
      </c>
      <c r="D61" s="6">
        <f t="shared" si="6"/>
        <v>42.93960337465478</v>
      </c>
      <c r="E61" s="6">
        <f t="shared" si="7"/>
        <v>244.40940506198331</v>
      </c>
      <c r="F61" s="6">
        <v>0</v>
      </c>
      <c r="G61" s="6">
        <f t="shared" si="4"/>
        <v>202.5</v>
      </c>
      <c r="H61" s="6">
        <f t="shared" si="4"/>
        <v>45</v>
      </c>
      <c r="I61" s="6">
        <f t="shared" si="4"/>
        <v>241.875</v>
      </c>
      <c r="J61" s="6">
        <v>0</v>
      </c>
      <c r="K61" s="9"/>
      <c r="L61" s="9"/>
      <c r="M61" s="9"/>
    </row>
    <row r="62" spans="1:13">
      <c r="A62" s="6">
        <v>29</v>
      </c>
      <c r="B62" s="6">
        <v>0</v>
      </c>
      <c r="C62" s="7">
        <f t="shared" si="5"/>
        <v>137.48286168721688</v>
      </c>
      <c r="D62" s="6">
        <f t="shared" si="6"/>
        <v>274.96572337443376</v>
      </c>
      <c r="E62" s="6">
        <f t="shared" si="7"/>
        <v>52.448585061651102</v>
      </c>
      <c r="F62" s="6">
        <v>0</v>
      </c>
      <c r="G62" s="6">
        <f t="shared" si="4"/>
        <v>135</v>
      </c>
      <c r="H62" s="6">
        <f t="shared" si="4"/>
        <v>275.625</v>
      </c>
      <c r="I62" s="6">
        <f t="shared" si="4"/>
        <v>50.625</v>
      </c>
      <c r="J62" s="6">
        <v>0</v>
      </c>
      <c r="K62" s="9"/>
      <c r="L62" s="9"/>
      <c r="M62" s="9"/>
    </row>
    <row r="63" spans="1:13">
      <c r="A63" s="6">
        <v>30</v>
      </c>
      <c r="B63" s="6">
        <v>0</v>
      </c>
      <c r="C63" s="7">
        <f t="shared" si="5"/>
        <v>74.112000000000535</v>
      </c>
      <c r="D63" s="6">
        <f t="shared" si="6"/>
        <v>148.22400000000107</v>
      </c>
      <c r="E63" s="6">
        <f t="shared" si="7"/>
        <v>222.33600000000115</v>
      </c>
      <c r="F63" s="6">
        <v>0</v>
      </c>
      <c r="G63" s="6">
        <f t="shared" si="4"/>
        <v>73.125</v>
      </c>
      <c r="H63" s="6">
        <f t="shared" si="4"/>
        <v>146.25</v>
      </c>
      <c r="I63" s="6">
        <f t="shared" si="4"/>
        <v>225</v>
      </c>
      <c r="J63" s="6">
        <v>0</v>
      </c>
      <c r="K63" s="9"/>
      <c r="L63" s="9"/>
      <c r="M63" s="9"/>
    </row>
  </sheetData>
  <mergeCells count="3">
    <mergeCell ref="C1:E1"/>
    <mergeCell ref="G1:I1"/>
    <mergeCell ref="K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212</vt:lpstr>
      <vt:lpstr>215</vt:lpstr>
      <vt:lpstr>218</vt:lpstr>
      <vt:lpstr>221</vt:lpstr>
      <vt:lpstr>224</vt:lpstr>
      <vt:lpstr>'212'!Freq</vt:lpstr>
      <vt:lpstr>'215'!Freq</vt:lpstr>
      <vt:lpstr>'218'!Freq</vt:lpstr>
      <vt:lpstr>'221'!Freq</vt:lpstr>
      <vt:lpstr>'224'!Freq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yxm_ll yxm_ll</cp:lastModifiedBy>
  <dcterms:created xsi:type="dcterms:W3CDTF">2026-01-23T02:01:05Z</dcterms:created>
  <dcterms:modified xsi:type="dcterms:W3CDTF">2026-06-25T01:53:51Z</dcterms:modified>
</cp:coreProperties>
</file>