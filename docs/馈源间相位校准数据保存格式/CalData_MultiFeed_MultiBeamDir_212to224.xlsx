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work\电子科大湖州研究院\科研项目开展\可重构智能表面项目\504有源驱动阵列馈电的太赫兹透射式RIS项目\替补方案\馈源间相位校准数据保存格式\"/>
    </mc:Choice>
  </mc:AlternateContent>
  <xr:revisionPtr revIDLastSave="0" documentId="13_ncr:1_{6D80F13A-84A2-4BE4-B9CD-AEF3FEC85C81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212" sheetId="1" r:id="rId1"/>
    <sheet name="215" sheetId="2" r:id="rId2"/>
    <sheet name="218" sheetId="3" r:id="rId3"/>
    <sheet name="221" sheetId="4" r:id="rId4"/>
    <sheet name="224" sheetId="5" r:id="rId5"/>
  </sheets>
  <definedNames>
    <definedName name="Freq" localSheetId="0">'212'!$B$1</definedName>
    <definedName name="Freq" localSheetId="1">'215'!$B$1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3" i="2" l="1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33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34" i="1"/>
  <c r="C35" i="1"/>
  <c r="C33" i="1"/>
</calcChain>
</file>

<file path=xl/sharedStrings.xml><?xml version="1.0" encoding="utf-8"?>
<sst xmlns="http://schemas.openxmlformats.org/spreadsheetml/2006/main" count="24" uniqueCount="12">
  <si>
    <t>ψ1(theoretical value)</t>
    <phoneticPr fontId="1" type="noConversion"/>
  </si>
  <si>
    <r>
      <t>ψ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Calibri"/>
        <family val="2"/>
      </rPr>
      <t>(theoretical value)</t>
    </r>
    <phoneticPr fontId="1" type="noConversion"/>
  </si>
  <si>
    <r>
      <t>ψ</t>
    </r>
    <r>
      <rPr>
        <sz val="11"/>
        <color theme="1"/>
        <rFont val="微软雅黑"/>
        <family val="2"/>
        <charset val="134"/>
      </rPr>
      <t>3</t>
    </r>
    <r>
      <rPr>
        <sz val="11"/>
        <color theme="1"/>
        <rFont val="Calibri"/>
        <family val="2"/>
      </rPr>
      <t>(theoretical value)</t>
    </r>
    <phoneticPr fontId="1" type="noConversion"/>
  </si>
  <si>
    <r>
      <t>ψ</t>
    </r>
    <r>
      <rPr>
        <sz val="11"/>
        <color theme="1"/>
        <rFont val="微软雅黑"/>
        <family val="2"/>
        <charset val="134"/>
      </rPr>
      <t>4</t>
    </r>
    <r>
      <rPr>
        <sz val="11"/>
        <color theme="1"/>
        <rFont val="Calibri"/>
        <family val="2"/>
      </rPr>
      <t>(theoretical value)</t>
    </r>
    <phoneticPr fontId="1" type="noConversion"/>
  </si>
  <si>
    <t>Φp1/deg</t>
    <phoneticPr fontId="1" type="noConversion"/>
  </si>
  <si>
    <t>Φp2/deg</t>
    <phoneticPr fontId="1" type="noConversion"/>
  </si>
  <si>
    <t>Φp3/deg</t>
    <phoneticPr fontId="1" type="noConversion"/>
  </si>
  <si>
    <t>Φp4/deg</t>
    <phoneticPr fontId="1" type="noConversion"/>
  </si>
  <si>
    <t>Beam Dir.</t>
    <phoneticPr fontId="1" type="noConversion"/>
  </si>
  <si>
    <t>Freq.</t>
    <phoneticPr fontId="1" type="noConversion"/>
  </si>
  <si>
    <t>视在相位测得值</t>
    <phoneticPr fontId="1" type="noConversion"/>
  </si>
  <si>
    <t>理论要求相位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</si>
</sst>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b/>
      <i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"/>
  <sheetViews>
    <sheetView topLeftCell="A37" workbookViewId="0">
      <selection activeCell="C32" sqref="C31:C32"/>
    </sheetView>
  </sheetViews>
  <sheetFormatPr defaultRowHeight="14"/>
  <cols>
    <col min="1" max="1" width="12.81640625" customWidth="1"/>
    <col min="2" max="2" width="19.453125" customWidth="1"/>
    <col min="3" max="3" width="19.26953125" customWidth="1"/>
    <col min="4" max="4" width="20" customWidth="1"/>
    <col min="5" max="5" width="20.1796875" customWidth="1"/>
    <col min="6" max="6" width="8.54296875" customWidth="1"/>
    <col min="8" max="8" width="8.1796875" customWidth="1"/>
    <col min="11" max="11" width="7.453125" customWidth="1"/>
    <col min="13" max="13" width="8" customWidth="1"/>
    <col min="15" max="15" width="7.54296875" customWidth="1"/>
    <col min="17" max="17" width="6.90625" customWidth="1"/>
    <col min="19" max="19" width="7" customWidth="1"/>
    <col min="20" max="20" width="7.08984375" customWidth="1"/>
  </cols>
  <sheetData>
    <row r="1" spans="1:20" ht="15.5">
      <c r="A1" s="6" t="s">
        <v>9</v>
      </c>
      <c r="B1" s="1">
        <v>212</v>
      </c>
      <c r="C1" s="10" t="s">
        <v>11</v>
      </c>
      <c r="D1" s="10"/>
      <c r="E1" s="10"/>
      <c r="F1" s="11"/>
      <c r="G1" s="10" t="s">
        <v>10</v>
      </c>
      <c r="H1" s="10"/>
      <c r="I1" s="10"/>
    </row>
    <row r="2" spans="1:20" ht="16.5">
      <c r="A2" s="6" t="s">
        <v>8</v>
      </c>
      <c r="B2" s="5" t="s">
        <v>0</v>
      </c>
      <c r="C2" s="5" t="s">
        <v>1</v>
      </c>
      <c r="D2" s="5" t="s">
        <v>2</v>
      </c>
      <c r="E2" s="5" t="s">
        <v>3</v>
      </c>
      <c r="F2" s="2" t="s">
        <v>4</v>
      </c>
      <c r="G2" s="4" t="s">
        <v>5</v>
      </c>
      <c r="H2" s="4" t="s">
        <v>6</v>
      </c>
      <c r="I2" s="4" t="s">
        <v>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7">
        <v>-30</v>
      </c>
      <c r="B3" s="7">
        <v>0</v>
      </c>
      <c r="C3" s="8">
        <f>MOD(-180*Freq*15.52*2*SIN(A3*PI()/180)/300,360)</f>
        <v>174.14399999999955</v>
      </c>
      <c r="D3" s="7">
        <f>MOD(-180*Freq*2*15.52*2*SIN(A3*PI()/180)/300,360)</f>
        <v>348.2879999999991</v>
      </c>
      <c r="E3" s="7">
        <f>MOD(-180*Freq*3*15.52*2*SIN(A3*PI()/180)/300,360)</f>
        <v>162.43199999999888</v>
      </c>
      <c r="F3" s="7">
        <v>0</v>
      </c>
      <c r="G3" s="12">
        <v>174</v>
      </c>
      <c r="H3" s="12">
        <v>348</v>
      </c>
      <c r="I3" s="12">
        <v>162</v>
      </c>
      <c r="J3" s="9"/>
      <c r="K3" s="9"/>
      <c r="L3" s="9"/>
    </row>
    <row r="4" spans="1:20">
      <c r="A4" s="7">
        <v>-29</v>
      </c>
      <c r="B4" s="7">
        <v>0</v>
      </c>
      <c r="C4" s="8">
        <f>MOD(-180*Freq*15.52*2*SIN(A4*PI()/180)/300,360)</f>
        <v>114.16800590316961</v>
      </c>
      <c r="D4" s="7">
        <f>MOD(-180*Freq*2*15.52*2*SIN(A4*PI()/180)/300,360)</f>
        <v>228.33601180633923</v>
      </c>
      <c r="E4" s="7">
        <f>MOD(-180*Freq*3*15.52*2*SIN(A4*PI()/180)/300,360)</f>
        <v>342.50401770950793</v>
      </c>
      <c r="F4" s="7">
        <v>0</v>
      </c>
      <c r="G4" s="12"/>
      <c r="H4" s="12"/>
      <c r="I4" s="12"/>
      <c r="J4" s="9"/>
      <c r="K4" s="9"/>
      <c r="L4" s="9"/>
    </row>
    <row r="5" spans="1:20">
      <c r="A5" s="7">
        <v>-28</v>
      </c>
      <c r="B5" s="7">
        <v>0</v>
      </c>
      <c r="C5" s="8">
        <f>MOD(-180*Freq*15.52*2*SIN(A5*PI()/180)/300,360)</f>
        <v>53.608937688779179</v>
      </c>
      <c r="D5" s="7">
        <f>MOD(-180*Freq*2*15.52*2*SIN(A5*PI()/180)/300,360)</f>
        <v>107.21787537755836</v>
      </c>
      <c r="E5" s="7">
        <f>MOD(-180*Freq*3*15.52*2*SIN(A5*PI()/180)/300,360)</f>
        <v>160.82681306633731</v>
      </c>
      <c r="F5" s="7">
        <v>0</v>
      </c>
      <c r="G5" s="12"/>
      <c r="H5" s="12"/>
      <c r="I5" s="12"/>
      <c r="J5" s="9"/>
      <c r="K5" s="9"/>
      <c r="L5" s="9"/>
    </row>
    <row r="6" spans="1:20">
      <c r="A6" s="7">
        <v>-27</v>
      </c>
      <c r="B6" s="7">
        <v>0</v>
      </c>
      <c r="C6" s="8">
        <f>MOD(-180*Freq*15.52*2*SIN(A6*PI()/180)/300,360)</f>
        <v>352.48524223565551</v>
      </c>
      <c r="D6" s="7">
        <f>MOD(-180*Freq*2*15.52*2*SIN(A6*PI()/180)/300,360)</f>
        <v>344.97048447131101</v>
      </c>
      <c r="E6" s="7">
        <f>MOD(-180*Freq*3*15.52*2*SIN(A6*PI()/180)/300,360)</f>
        <v>337.45572670696583</v>
      </c>
      <c r="F6" s="7">
        <v>0</v>
      </c>
      <c r="G6" s="12"/>
      <c r="H6" s="12"/>
      <c r="I6" s="12"/>
      <c r="J6" s="9"/>
      <c r="K6" s="9"/>
      <c r="L6" s="9"/>
    </row>
    <row r="7" spans="1:20">
      <c r="A7" s="7">
        <v>-26</v>
      </c>
      <c r="B7" s="7">
        <v>0</v>
      </c>
      <c r="C7" s="8">
        <f>MOD(-180*Freq*15.52*2*SIN(A7*PI()/180)/300,360)</f>
        <v>290.81553841355276</v>
      </c>
      <c r="D7" s="7">
        <f>MOD(-180*Freq*2*15.52*2*SIN(A7*PI()/180)/300,360)</f>
        <v>221.63107682710552</v>
      </c>
      <c r="E7" s="7">
        <f>MOD(-180*Freq*3*15.52*2*SIN(A7*PI()/180)/300,360)</f>
        <v>152.4466152406585</v>
      </c>
      <c r="F7" s="7">
        <v>0</v>
      </c>
      <c r="G7" s="12"/>
      <c r="H7" s="12"/>
      <c r="I7" s="12"/>
      <c r="J7" s="9"/>
      <c r="K7" s="9"/>
      <c r="L7" s="9"/>
    </row>
    <row r="8" spans="1:20">
      <c r="A8" s="7">
        <v>-25</v>
      </c>
      <c r="B8" s="7">
        <v>0</v>
      </c>
      <c r="C8" s="8">
        <f>MOD(-180*Freq*15.52*2*SIN(A8*PI()/180)/300,360)</f>
        <v>228.61861141166264</v>
      </c>
      <c r="D8" s="7">
        <f>MOD(-180*Freq*2*15.52*2*SIN(A8*PI()/180)/300,360)</f>
        <v>97.237222823325283</v>
      </c>
      <c r="E8" s="7">
        <f>MOD(-180*Freq*3*15.52*2*SIN(A8*PI()/180)/300,360)</f>
        <v>325.85583423498792</v>
      </c>
      <c r="F8" s="7">
        <v>0</v>
      </c>
      <c r="G8" s="13"/>
      <c r="H8" s="14"/>
      <c r="I8" s="12"/>
      <c r="J8" s="9"/>
      <c r="K8" s="9"/>
      <c r="L8" s="9"/>
    </row>
    <row r="9" spans="1:20">
      <c r="A9" s="7">
        <v>-24</v>
      </c>
      <c r="B9" s="7">
        <v>0</v>
      </c>
      <c r="C9" s="8">
        <f>MOD(-180*Freq*15.52*2*SIN(A9*PI()/180)/300,360)</f>
        <v>165.91340701646459</v>
      </c>
      <c r="D9" s="7">
        <f>MOD(-180*Freq*2*15.52*2*SIN(A9*PI()/180)/300,360)</f>
        <v>331.82681403292918</v>
      </c>
      <c r="E9" s="7">
        <f>MOD(-180*Freq*3*15.52*2*SIN(A9*PI()/180)/300,360)</f>
        <v>137.74022104939468</v>
      </c>
      <c r="F9" s="7">
        <v>0</v>
      </c>
      <c r="G9" s="12"/>
      <c r="H9" s="12"/>
      <c r="I9" s="12"/>
      <c r="J9" s="9"/>
      <c r="K9" s="9"/>
      <c r="L9" s="9"/>
    </row>
    <row r="10" spans="1:20">
      <c r="A10" s="7">
        <v>-23</v>
      </c>
      <c r="B10" s="7">
        <v>0</v>
      </c>
      <c r="C10" s="8">
        <f>MOD(-180*Freq*15.52*2*SIN(A10*PI()/180)/300,360)</f>
        <v>102.71902584065742</v>
      </c>
      <c r="D10" s="7">
        <f>MOD(-180*Freq*2*15.52*2*SIN(A10*PI()/180)/300,360)</f>
        <v>205.43805168131485</v>
      </c>
      <c r="E10" s="7">
        <f>MOD(-180*Freq*3*15.52*2*SIN(A10*PI()/180)/300,360)</f>
        <v>308.1570775219725</v>
      </c>
      <c r="F10" s="7">
        <v>0</v>
      </c>
      <c r="G10" s="12"/>
      <c r="H10" s="12"/>
      <c r="I10" s="12"/>
      <c r="J10" s="9"/>
      <c r="K10" s="9"/>
      <c r="L10" s="9"/>
    </row>
    <row r="11" spans="1:20">
      <c r="A11" s="7">
        <v>-22</v>
      </c>
      <c r="B11" s="7">
        <v>0</v>
      </c>
      <c r="C11" s="8">
        <f>MOD(-180*Freq*15.52*2*SIN(A11*PI()/180)/300,360)</f>
        <v>39.054717504924156</v>
      </c>
      <c r="D11" s="7">
        <f>MOD(-180*Freq*2*15.52*2*SIN(A11*PI()/180)/300,360)</f>
        <v>78.109435009848312</v>
      </c>
      <c r="E11" s="7">
        <f>MOD(-180*Freq*3*15.52*2*SIN(A11*PI()/180)/300,360)</f>
        <v>117.16415251477338</v>
      </c>
      <c r="F11" s="7">
        <v>0</v>
      </c>
      <c r="G11" s="12"/>
      <c r="H11" s="12"/>
      <c r="I11" s="12"/>
      <c r="J11" s="9"/>
      <c r="K11" s="9"/>
      <c r="L11" s="9"/>
    </row>
    <row r="12" spans="1:20">
      <c r="A12" s="7">
        <v>-21</v>
      </c>
      <c r="B12" s="7">
        <v>0</v>
      </c>
      <c r="C12" s="8">
        <f>MOD(-180*Freq*15.52*2*SIN(A12*PI()/180)/300,360)</f>
        <v>334.93987477431438</v>
      </c>
      <c r="D12" s="7">
        <f>MOD(-180*Freq*2*15.52*2*SIN(A12*PI()/180)/300,360)</f>
        <v>309.87974954862875</v>
      </c>
      <c r="E12" s="7">
        <f>MOD(-180*Freq*3*15.52*2*SIN(A12*PI()/180)/300,360)</f>
        <v>284.81962432294313</v>
      </c>
      <c r="F12" s="7">
        <v>0</v>
      </c>
      <c r="G12" s="12"/>
      <c r="H12" s="12"/>
      <c r="I12" s="12"/>
      <c r="J12" s="9"/>
      <c r="K12" s="9"/>
      <c r="L12" s="9"/>
    </row>
    <row r="13" spans="1:20">
      <c r="A13" s="7">
        <v>-20</v>
      </c>
      <c r="B13" s="7">
        <v>0</v>
      </c>
      <c r="C13" s="8">
        <f>MOD(-180*Freq*15.52*2*SIN(A13*PI()/180)/300,360)</f>
        <v>270.39402765101772</v>
      </c>
      <c r="D13" s="7">
        <f>MOD(-180*Freq*2*15.52*2*SIN(A13*PI()/180)/300,360)</f>
        <v>180.78805530203545</v>
      </c>
      <c r="E13" s="7">
        <f>MOD(-180*Freq*3*15.52*2*SIN(A13*PI()/180)/300,360)</f>
        <v>91.182082953053396</v>
      </c>
      <c r="F13" s="7">
        <v>0</v>
      </c>
      <c r="G13" s="12"/>
      <c r="H13" s="12"/>
      <c r="I13" s="12"/>
      <c r="J13" s="9"/>
      <c r="K13" s="9"/>
      <c r="L13" s="9"/>
    </row>
    <row r="14" spans="1:20">
      <c r="A14" s="7">
        <v>-19</v>
      </c>
      <c r="B14" s="7">
        <v>0</v>
      </c>
      <c r="C14" s="8">
        <f>MOD(-180*Freq*15.52*2*SIN(A14*PI()/180)/300,360)</f>
        <v>205.43683742533813</v>
      </c>
      <c r="D14" s="7">
        <f>MOD(-180*Freq*2*15.52*2*SIN(A14*PI()/180)/300,360)</f>
        <v>50.873674850676252</v>
      </c>
      <c r="E14" s="7">
        <f>MOD(-180*Freq*3*15.52*2*SIN(A14*PI()/180)/300,360)</f>
        <v>256.31051227601392</v>
      </c>
      <c r="F14" s="7">
        <v>0</v>
      </c>
      <c r="G14" s="13"/>
      <c r="H14" s="14"/>
      <c r="I14" s="12"/>
      <c r="J14" s="9"/>
      <c r="K14" s="9"/>
      <c r="L14" s="9"/>
    </row>
    <row r="15" spans="1:20">
      <c r="A15" s="7">
        <v>-18</v>
      </c>
      <c r="B15" s="7">
        <v>0</v>
      </c>
      <c r="C15" s="8">
        <f>MOD(-180*Freq*15.52*2*SIN(A15*PI()/180)/300,360)</f>
        <v>140.0880906866721</v>
      </c>
      <c r="D15" s="7">
        <f>MOD(-180*Freq*2*15.52*2*SIN(A15*PI()/180)/300,360)</f>
        <v>280.17618137334421</v>
      </c>
      <c r="E15" s="7">
        <f>MOD(-180*Freq*3*15.52*2*SIN(A15*PI()/180)/300,360)</f>
        <v>60.264272060016538</v>
      </c>
      <c r="F15" s="7">
        <v>0</v>
      </c>
      <c r="G15" s="12"/>
      <c r="H15" s="12"/>
      <c r="I15" s="12"/>
      <c r="J15" s="9"/>
      <c r="K15" s="9"/>
      <c r="L15" s="9"/>
    </row>
    <row r="16" spans="1:20">
      <c r="A16" s="7">
        <v>-17</v>
      </c>
      <c r="B16" s="7">
        <v>0</v>
      </c>
      <c r="C16" s="8">
        <f>MOD(-180*Freq*15.52*2*SIN(A16*PI()/180)/300,360)</f>
        <v>74.36769329632466</v>
      </c>
      <c r="D16" s="7">
        <f>MOD(-180*Freq*2*15.52*2*SIN(A16*PI()/180)/300,360)</f>
        <v>148.73538659264932</v>
      </c>
      <c r="E16" s="7">
        <f>MOD(-180*Freq*3*15.52*2*SIN(A16*PI()/180)/300,360)</f>
        <v>223.10307988897421</v>
      </c>
      <c r="F16" s="7">
        <v>0</v>
      </c>
      <c r="G16" s="12"/>
      <c r="H16" s="12"/>
      <c r="I16" s="12"/>
      <c r="J16" s="9"/>
      <c r="K16" s="9"/>
      <c r="L16" s="9"/>
    </row>
    <row r="17" spans="1:12">
      <c r="A17" s="7">
        <v>-16</v>
      </c>
      <c r="B17" s="7">
        <v>0</v>
      </c>
      <c r="C17" s="8">
        <f>MOD(-180*Freq*15.52*2*SIN(A17*PI()/180)/300,360)</f>
        <v>8.2956643239879213</v>
      </c>
      <c r="D17" s="7">
        <f>MOD(-180*Freq*2*15.52*2*SIN(A17*PI()/180)/300,360)</f>
        <v>16.591328647975843</v>
      </c>
      <c r="E17" s="7">
        <f>MOD(-180*Freq*3*15.52*2*SIN(A17*PI()/180)/300,360)</f>
        <v>24.886992971963991</v>
      </c>
      <c r="F17" s="7">
        <v>0</v>
      </c>
      <c r="G17" s="12"/>
      <c r="H17" s="12"/>
      <c r="I17" s="12"/>
      <c r="J17" s="9"/>
      <c r="K17" s="9"/>
      <c r="L17" s="9"/>
    </row>
    <row r="18" spans="1:12">
      <c r="A18" s="7">
        <v>-15</v>
      </c>
      <c r="B18" s="7">
        <v>0</v>
      </c>
      <c r="C18" s="8">
        <f>MOD(-180*Freq*15.52*2*SIN(A18*PI()/180)/300,360)</f>
        <v>301.89212994974127</v>
      </c>
      <c r="D18" s="7">
        <f>MOD(-180*Freq*2*15.52*2*SIN(A18*PI()/180)/300,360)</f>
        <v>243.78425989948255</v>
      </c>
      <c r="E18" s="7">
        <f>MOD(-180*Freq*3*15.52*2*SIN(A18*PI()/180)/300,360)</f>
        <v>185.67638984922405</v>
      </c>
      <c r="F18" s="7">
        <v>0</v>
      </c>
      <c r="G18" s="12"/>
      <c r="H18" s="12"/>
      <c r="I18" s="12"/>
      <c r="J18" s="9"/>
      <c r="K18" s="9"/>
      <c r="L18" s="9"/>
    </row>
    <row r="19" spans="1:12">
      <c r="A19" s="7">
        <v>-14</v>
      </c>
      <c r="B19" s="7">
        <v>0</v>
      </c>
      <c r="C19" s="8">
        <f>MOD(-180*Freq*15.52*2*SIN(A19*PI()/180)/300,360)</f>
        <v>235.17731733342089</v>
      </c>
      <c r="D19" s="7">
        <f>MOD(-180*Freq*2*15.52*2*SIN(A19*PI()/180)/300,360)</f>
        <v>110.35463466684178</v>
      </c>
      <c r="E19" s="7">
        <f>MOD(-180*Freq*3*15.52*2*SIN(A19*PI()/180)/300,360)</f>
        <v>345.53195200026221</v>
      </c>
      <c r="F19" s="7">
        <v>0</v>
      </c>
      <c r="G19" s="12"/>
      <c r="H19" s="12"/>
      <c r="I19" s="12"/>
      <c r="J19" s="9"/>
      <c r="K19" s="9"/>
      <c r="L19" s="9"/>
    </row>
    <row r="20" spans="1:12">
      <c r="A20" s="7">
        <v>-13</v>
      </c>
      <c r="B20" s="7">
        <v>0</v>
      </c>
      <c r="C20" s="8">
        <f>MOD(-180*Freq*15.52*2*SIN(A20*PI()/180)/300,360)</f>
        <v>168.17154845323012</v>
      </c>
      <c r="D20" s="7">
        <f>MOD(-180*Freq*2*15.52*2*SIN(A20*PI()/180)/300,360)</f>
        <v>336.34309690646023</v>
      </c>
      <c r="E20" s="7">
        <f>MOD(-180*Freq*3*15.52*2*SIN(A20*PI()/180)/300,360)</f>
        <v>144.51464535968989</v>
      </c>
      <c r="F20" s="7">
        <v>0</v>
      </c>
      <c r="G20" s="12"/>
      <c r="H20" s="12"/>
      <c r="I20" s="12"/>
      <c r="J20" s="9"/>
      <c r="K20" s="9"/>
      <c r="L20" s="9"/>
    </row>
    <row r="21" spans="1:12">
      <c r="A21" s="7">
        <v>-12</v>
      </c>
      <c r="B21" s="7">
        <v>0</v>
      </c>
      <c r="C21" s="8">
        <f>MOD(-180*Freq*15.52*2*SIN(A21*PI()/180)/300,360)</f>
        <v>100.89523391546925</v>
      </c>
      <c r="D21" s="7">
        <f>MOD(-180*Freq*2*15.52*2*SIN(A21*PI()/180)/300,360)</f>
        <v>201.7904678309385</v>
      </c>
      <c r="E21" s="7">
        <f>MOD(-180*Freq*3*15.52*2*SIN(A21*PI()/180)/300,360)</f>
        <v>302.68570174640763</v>
      </c>
      <c r="F21" s="7">
        <v>0</v>
      </c>
      <c r="G21" s="12"/>
      <c r="H21" s="12"/>
      <c r="I21" s="12"/>
      <c r="J21" s="9"/>
      <c r="K21" s="9"/>
      <c r="L21" s="9"/>
    </row>
    <row r="22" spans="1:12">
      <c r="A22" s="7">
        <v>-11</v>
      </c>
      <c r="B22" s="7">
        <v>0</v>
      </c>
      <c r="C22" s="8">
        <f>MOD(-180*Freq*15.52*2*SIN(A22*PI()/180)/300,360)</f>
        <v>33.36886673726724</v>
      </c>
      <c r="D22" s="7">
        <f>MOD(-180*Freq*2*15.52*2*SIN(A22*PI()/180)/300,360)</f>
        <v>66.73773347453448</v>
      </c>
      <c r="E22" s="7">
        <f>MOD(-180*Freq*3*15.52*2*SIN(A22*PI()/180)/300,360)</f>
        <v>100.10660021180183</v>
      </c>
      <c r="F22" s="7">
        <v>0</v>
      </c>
      <c r="G22" s="12"/>
      <c r="H22" s="12"/>
      <c r="I22" s="12"/>
      <c r="J22" s="9"/>
      <c r="K22" s="9"/>
      <c r="L22" s="9"/>
    </row>
    <row r="23" spans="1:12">
      <c r="A23" s="7">
        <v>-10</v>
      </c>
      <c r="B23" s="7">
        <v>0</v>
      </c>
      <c r="C23" s="8">
        <f>MOD(-180*Freq*15.52*2*SIN(A23*PI()/180)/300,360)</f>
        <v>325.6130161042089</v>
      </c>
      <c r="D23" s="7">
        <f>MOD(-180*Freq*2*15.52*2*SIN(A23*PI()/180)/300,360)</f>
        <v>291.22603220841779</v>
      </c>
      <c r="E23" s="7">
        <f>MOD(-180*Freq*3*15.52*2*SIN(A23*PI()/180)/300,360)</f>
        <v>256.8390483126268</v>
      </c>
      <c r="F23" s="7">
        <v>0</v>
      </c>
      <c r="G23" s="12"/>
      <c r="H23" s="12"/>
      <c r="I23" s="12"/>
      <c r="J23" s="9"/>
      <c r="K23" s="9"/>
      <c r="L23" s="9"/>
    </row>
    <row r="24" spans="1:12">
      <c r="A24" s="7">
        <v>-9</v>
      </c>
      <c r="B24" s="7">
        <v>0</v>
      </c>
      <c r="C24" s="8">
        <f>MOD(-180*Freq*15.52*2*SIN(A24*PI()/180)/300,360)</f>
        <v>257.648321104763</v>
      </c>
      <c r="D24" s="7">
        <f>MOD(-180*Freq*2*15.52*2*SIN(A24*PI()/180)/300,360)</f>
        <v>155.296642209526</v>
      </c>
      <c r="E24" s="7">
        <f>MOD(-180*Freq*3*15.52*2*SIN(A24*PI()/180)/300,360)</f>
        <v>52.944963314289225</v>
      </c>
      <c r="F24" s="7">
        <v>0</v>
      </c>
      <c r="G24" s="12"/>
      <c r="H24" s="12"/>
      <c r="I24" s="12"/>
      <c r="J24" s="9"/>
      <c r="K24" s="9"/>
      <c r="L24" s="9"/>
    </row>
    <row r="25" spans="1:12">
      <c r="A25" s="7">
        <v>-8</v>
      </c>
      <c r="B25" s="7">
        <v>0</v>
      </c>
      <c r="C25" s="8">
        <f>MOD(-180*Freq*15.52*2*SIN(A25*PI()/180)/300,360)</f>
        <v>189.49548444341485</v>
      </c>
      <c r="D25" s="7">
        <f>MOD(-180*Freq*2*15.52*2*SIN(A25*PI()/180)/300,360)</f>
        <v>18.990968886829705</v>
      </c>
      <c r="E25" s="7">
        <f>MOD(-180*Freq*3*15.52*2*SIN(A25*PI()/180)/300,360)</f>
        <v>208.48645333024433</v>
      </c>
      <c r="F25" s="7">
        <v>0</v>
      </c>
      <c r="G25" s="12"/>
      <c r="H25" s="12"/>
      <c r="I25" s="12"/>
      <c r="J25" s="9"/>
      <c r="K25" s="9"/>
      <c r="L25" s="9"/>
    </row>
    <row r="26" spans="1:12">
      <c r="A26" s="7">
        <v>-7</v>
      </c>
      <c r="B26" s="7">
        <v>0</v>
      </c>
      <c r="C26" s="8">
        <f>MOD(-180*Freq*15.52*2*SIN(A26*PI()/180)/300,360)</f>
        <v>121.17526613442283</v>
      </c>
      <c r="D26" s="7">
        <f>MOD(-180*Freq*2*15.52*2*SIN(A26*PI()/180)/300,360)</f>
        <v>242.35053226884565</v>
      </c>
      <c r="E26" s="7">
        <f>MOD(-180*Freq*3*15.52*2*SIN(A26*PI()/180)/300,360)</f>
        <v>3.5257984032684817</v>
      </c>
      <c r="F26" s="7">
        <v>0</v>
      </c>
      <c r="G26" s="12"/>
      <c r="H26" s="12"/>
      <c r="I26" s="12"/>
      <c r="J26" s="9"/>
      <c r="K26" s="9"/>
      <c r="L26" s="9"/>
    </row>
    <row r="27" spans="1:12">
      <c r="A27" s="7">
        <v>-6</v>
      </c>
      <c r="B27" s="7">
        <v>0</v>
      </c>
      <c r="C27" s="8">
        <f>MOD(-180*Freq*15.52*2*SIN(A27*PI()/180)/300,360)</f>
        <v>52.70847717811688</v>
      </c>
      <c r="D27" s="7">
        <f>MOD(-180*Freq*2*15.52*2*SIN(A27*PI()/180)/300,360)</f>
        <v>105.41695435623376</v>
      </c>
      <c r="E27" s="7">
        <f>MOD(-180*Freq*3*15.52*2*SIN(A27*PI()/180)/300,360)</f>
        <v>158.12543153435058</v>
      </c>
      <c r="F27" s="7">
        <v>0</v>
      </c>
      <c r="G27" s="12"/>
      <c r="H27" s="12"/>
      <c r="I27" s="12"/>
      <c r="J27" s="9"/>
      <c r="K27" s="9"/>
      <c r="L27" s="9"/>
    </row>
    <row r="28" spans="1:12">
      <c r="A28" s="7">
        <v>-5</v>
      </c>
      <c r="B28" s="7">
        <v>0</v>
      </c>
      <c r="C28" s="8">
        <f>MOD(-180*Freq*15.52*2*SIN(A28*PI()/180)/300,360)</f>
        <v>344.11597322166574</v>
      </c>
      <c r="D28" s="7">
        <f>MOD(-180*Freq*2*15.52*2*SIN(A28*PI()/180)/300,360)</f>
        <v>328.23194644333148</v>
      </c>
      <c r="E28" s="7">
        <f>MOD(-180*Freq*3*15.52*2*SIN(A28*PI()/180)/300,360)</f>
        <v>312.34791966499711</v>
      </c>
      <c r="F28" s="7">
        <v>0</v>
      </c>
      <c r="G28" s="12"/>
      <c r="H28" s="12"/>
      <c r="I28" s="12"/>
      <c r="J28" s="9"/>
      <c r="K28" s="9"/>
      <c r="L28" s="9"/>
    </row>
    <row r="29" spans="1:12">
      <c r="A29" s="7">
        <v>-4</v>
      </c>
      <c r="B29" s="7">
        <v>0</v>
      </c>
      <c r="C29" s="8">
        <f>MOD(-180*Freq*15.52*2*SIN(A29*PI()/180)/300,360)</f>
        <v>275.418648206245</v>
      </c>
      <c r="D29" s="7">
        <f>MOD(-180*Freq*2*15.52*2*SIN(A29*PI()/180)/300,360)</f>
        <v>190.83729641248999</v>
      </c>
      <c r="E29" s="7">
        <f>MOD(-180*Freq*3*15.52*2*SIN(A29*PI()/180)/300,360)</f>
        <v>106.25594461873493</v>
      </c>
      <c r="F29" s="7">
        <v>0</v>
      </c>
      <c r="G29" s="12"/>
      <c r="H29" s="12"/>
      <c r="I29" s="12"/>
      <c r="J29" s="9"/>
      <c r="K29" s="9"/>
      <c r="L29" s="9"/>
    </row>
    <row r="30" spans="1:12">
      <c r="A30" s="7">
        <v>-3</v>
      </c>
      <c r="B30" s="7">
        <v>0</v>
      </c>
      <c r="C30" s="8">
        <f>MOD(-180*Freq*15.52*2*SIN(A30*PI()/180)/300,360)</f>
        <v>206.63742800254019</v>
      </c>
      <c r="D30" s="7">
        <f>MOD(-180*Freq*2*15.52*2*SIN(A30*PI()/180)/300,360)</f>
        <v>53.27485600508038</v>
      </c>
      <c r="E30" s="7">
        <f>MOD(-180*Freq*3*15.52*2*SIN(A30*PI()/180)/300,360)</f>
        <v>259.91228400762054</v>
      </c>
      <c r="F30" s="7">
        <v>0</v>
      </c>
      <c r="G30" s="12"/>
      <c r="H30" s="12"/>
      <c r="I30" s="12"/>
      <c r="J30" s="9"/>
      <c r="K30" s="9"/>
      <c r="L30" s="9"/>
    </row>
    <row r="31" spans="1:12">
      <c r="A31" s="7">
        <v>-2</v>
      </c>
      <c r="B31" s="7">
        <v>0</v>
      </c>
      <c r="C31" s="8">
        <f>MOD(-180*Freq*15.52*2*SIN(A31*PI()/180)/300,360)</f>
        <v>137.79326403652414</v>
      </c>
      <c r="D31" s="7">
        <f>MOD(-180*Freq*2*15.52*2*SIN(A31*PI()/180)/300,360)</f>
        <v>275.58652807304827</v>
      </c>
      <c r="E31" s="7">
        <f>MOD(-180*Freq*3*15.52*2*SIN(A31*PI()/180)/300,360)</f>
        <v>53.379792109572406</v>
      </c>
      <c r="F31" s="7">
        <v>0</v>
      </c>
      <c r="G31" s="12"/>
      <c r="H31" s="12"/>
      <c r="I31" s="12"/>
      <c r="J31" s="9"/>
      <c r="K31" s="9"/>
      <c r="L31" s="9"/>
    </row>
    <row r="32" spans="1:12">
      <c r="A32" s="7">
        <v>-1</v>
      </c>
      <c r="B32" s="7">
        <v>0</v>
      </c>
      <c r="C32" s="8">
        <f>MOD(-180*Freq*15.52*2*SIN(A32*PI()/180)/300,360)</f>
        <v>68.907126907449239</v>
      </c>
      <c r="D32" s="7">
        <f>MOD(-180*Freq*2*15.52*2*SIN(A32*PI()/180)/300,360)</f>
        <v>137.81425381489848</v>
      </c>
      <c r="E32" s="7">
        <f>MOD(-180*Freq*3*15.52*2*SIN(A32*PI()/180)/300,360)</f>
        <v>206.7213807223477</v>
      </c>
      <c r="F32" s="1">
        <v>0</v>
      </c>
      <c r="G32" s="12">
        <v>69</v>
      </c>
      <c r="H32" s="12">
        <v>138</v>
      </c>
      <c r="I32" s="12">
        <v>207</v>
      </c>
      <c r="J32" s="9"/>
      <c r="K32" s="9"/>
      <c r="L32" s="9"/>
    </row>
    <row r="33" spans="1:12">
      <c r="A33" s="7">
        <v>0</v>
      </c>
      <c r="B33" s="7">
        <v>0</v>
      </c>
      <c r="C33" s="8">
        <f>MOD(-180*Freq*15.52*2*SIN(A33*PI()/180)/300,360)</f>
        <v>0</v>
      </c>
      <c r="D33" s="7">
        <f>MOD(-180*Freq*2*15.52*2*SIN(A33*PI()/180)/300,360)</f>
        <v>0</v>
      </c>
      <c r="E33" s="7">
        <f>MOD(-180*Freq*3*15.52*2*SIN(A33*PI()/180)/300,360)</f>
        <v>0</v>
      </c>
      <c r="F33" s="7">
        <v>0</v>
      </c>
      <c r="G33" s="12">
        <v>0</v>
      </c>
      <c r="H33" s="12">
        <v>0</v>
      </c>
      <c r="I33" s="12">
        <v>0</v>
      </c>
      <c r="J33" s="9"/>
      <c r="K33" s="9"/>
      <c r="L33" s="9"/>
    </row>
    <row r="34" spans="1:12">
      <c r="A34" s="7">
        <v>1</v>
      </c>
      <c r="B34" s="7">
        <v>0</v>
      </c>
      <c r="C34" s="8">
        <f>MOD(-180*Freq*15.52*2*SIN(A34*PI()/180)/300,360)</f>
        <v>291.09287309255075</v>
      </c>
      <c r="D34" s="7">
        <f>MOD(-180*Freq*2*15.52*2*SIN(A34*PI()/180)/300,360)</f>
        <v>222.18574618510152</v>
      </c>
      <c r="E34" s="7">
        <f>MOD(-180*Freq*3*15.52*2*SIN(A34*PI()/180)/300,360)</f>
        <v>153.2786192776523</v>
      </c>
      <c r="F34" s="7">
        <v>0</v>
      </c>
      <c r="G34" s="12">
        <v>290</v>
      </c>
      <c r="H34" s="12">
        <v>222</v>
      </c>
      <c r="I34" s="12">
        <v>154</v>
      </c>
      <c r="J34" s="9"/>
      <c r="K34" s="9"/>
      <c r="L34" s="9"/>
    </row>
    <row r="35" spans="1:12">
      <c r="A35" s="7">
        <v>2</v>
      </c>
      <c r="B35" s="7">
        <v>0</v>
      </c>
      <c r="C35" s="8">
        <f>MOD(-180*Freq*15.52*2*SIN(A35*PI()/180)/300,360)</f>
        <v>222.20673596347586</v>
      </c>
      <c r="D35" s="7">
        <f>MOD(-180*Freq*2*15.52*2*SIN(A35*PI()/180)/300,360)</f>
        <v>84.413471926951729</v>
      </c>
      <c r="E35" s="7">
        <f>MOD(-180*Freq*3*15.52*2*SIN(A35*PI()/180)/300,360)</f>
        <v>306.62020789042759</v>
      </c>
      <c r="F35" s="7">
        <v>0</v>
      </c>
      <c r="G35" s="12"/>
      <c r="H35" s="12"/>
      <c r="I35" s="12"/>
      <c r="J35" s="9"/>
      <c r="K35" s="9"/>
      <c r="L35" s="9"/>
    </row>
    <row r="36" spans="1:12">
      <c r="A36" s="7">
        <v>3</v>
      </c>
      <c r="B36" s="7">
        <v>0</v>
      </c>
      <c r="C36" s="8">
        <f>MOD(-180*Freq*15.52*2*SIN(A36*PI()/180)/300,360)</f>
        <v>153.36257199745981</v>
      </c>
      <c r="D36" s="7">
        <f>MOD(-180*Freq*2*15.52*2*SIN(A36*PI()/180)/300,360)</f>
        <v>306.72514399491962</v>
      </c>
      <c r="E36" s="7">
        <f>MOD(-180*Freq*3*15.52*2*SIN(A36*PI()/180)/300,360)</f>
        <v>100.08771599237946</v>
      </c>
      <c r="F36" s="7">
        <v>0</v>
      </c>
      <c r="G36" s="12"/>
      <c r="H36" s="12"/>
      <c r="I36" s="12"/>
      <c r="J36" s="9"/>
      <c r="K36" s="9"/>
      <c r="L36" s="9"/>
    </row>
    <row r="37" spans="1:12">
      <c r="A37" s="7">
        <v>4</v>
      </c>
      <c r="B37" s="7">
        <v>0</v>
      </c>
      <c r="C37" s="8">
        <f>MOD(-180*Freq*15.52*2*SIN(A37*PI()/180)/300,360)</f>
        <v>84.581351793755005</v>
      </c>
      <c r="D37" s="7">
        <f>MOD(-180*Freq*2*15.52*2*SIN(A37*PI()/180)/300,360)</f>
        <v>169.16270358751001</v>
      </c>
      <c r="E37" s="7">
        <f>MOD(-180*Freq*3*15.52*2*SIN(A37*PI()/180)/300,360)</f>
        <v>253.74405538126507</v>
      </c>
      <c r="F37" s="7">
        <v>0</v>
      </c>
      <c r="G37" s="12"/>
      <c r="H37" s="12"/>
      <c r="I37" s="12"/>
      <c r="J37" s="9"/>
      <c r="K37" s="9"/>
      <c r="L37" s="9"/>
    </row>
    <row r="38" spans="1:12">
      <c r="A38" s="7">
        <v>5</v>
      </c>
      <c r="B38" s="7">
        <v>0</v>
      </c>
      <c r="C38" s="8">
        <f>MOD(-180*Freq*15.52*2*SIN(A38*PI()/180)/300,360)</f>
        <v>15.88402677833426</v>
      </c>
      <c r="D38" s="7">
        <f>MOD(-180*Freq*2*15.52*2*SIN(A38*PI()/180)/300,360)</f>
        <v>31.768053556668519</v>
      </c>
      <c r="E38" s="7">
        <f>MOD(-180*Freq*3*15.52*2*SIN(A38*PI()/180)/300,360)</f>
        <v>47.652080335002893</v>
      </c>
      <c r="F38" s="7">
        <v>0</v>
      </c>
      <c r="G38" s="12"/>
      <c r="H38" s="12"/>
      <c r="I38" s="12"/>
      <c r="J38" s="9"/>
      <c r="K38" s="9"/>
      <c r="L38" s="9"/>
    </row>
    <row r="39" spans="1:12">
      <c r="A39" s="7">
        <v>6</v>
      </c>
      <c r="B39" s="7">
        <v>0</v>
      </c>
      <c r="C39" s="8">
        <f>MOD(-180*Freq*15.52*2*SIN(A39*PI()/180)/300,360)</f>
        <v>307.29152282188312</v>
      </c>
      <c r="D39" s="7">
        <f>MOD(-180*Freq*2*15.52*2*SIN(A39*PI()/180)/300,360)</f>
        <v>254.58304564376624</v>
      </c>
      <c r="E39" s="7">
        <f>MOD(-180*Freq*3*15.52*2*SIN(A39*PI()/180)/300,360)</f>
        <v>201.87456846564942</v>
      </c>
      <c r="F39" s="7">
        <v>0</v>
      </c>
      <c r="G39" s="13"/>
      <c r="H39" s="14"/>
      <c r="I39" s="12"/>
      <c r="J39" s="9"/>
      <c r="K39" s="9"/>
      <c r="L39" s="9"/>
    </row>
    <row r="40" spans="1:12">
      <c r="A40" s="7">
        <v>7</v>
      </c>
      <c r="B40" s="7">
        <v>0</v>
      </c>
      <c r="C40" s="8">
        <f>MOD(-180*Freq*15.52*2*SIN(A40*PI()/180)/300,360)</f>
        <v>238.82473386557717</v>
      </c>
      <c r="D40" s="7">
        <f>MOD(-180*Freq*2*15.52*2*SIN(A40*PI()/180)/300,360)</f>
        <v>117.64946773115435</v>
      </c>
      <c r="E40" s="7">
        <f>MOD(-180*Freq*3*15.52*2*SIN(A40*PI()/180)/300,360)</f>
        <v>356.47420159673152</v>
      </c>
      <c r="F40" s="7">
        <v>0</v>
      </c>
      <c r="G40" s="12"/>
      <c r="H40" s="12"/>
      <c r="I40" s="12"/>
      <c r="J40" s="9"/>
      <c r="K40" s="9"/>
      <c r="L40" s="9"/>
    </row>
    <row r="41" spans="1:12">
      <c r="A41" s="7">
        <v>8</v>
      </c>
      <c r="B41" s="7">
        <v>0</v>
      </c>
      <c r="C41" s="8">
        <f>MOD(-180*Freq*15.52*2*SIN(A41*PI()/180)/300,360)</f>
        <v>170.50451555658515</v>
      </c>
      <c r="D41" s="7">
        <f>MOD(-180*Freq*2*15.52*2*SIN(A41*PI()/180)/300,360)</f>
        <v>341.00903111317029</v>
      </c>
      <c r="E41" s="7">
        <f>MOD(-180*Freq*3*15.52*2*SIN(A41*PI()/180)/300,360)</f>
        <v>151.51354666975567</v>
      </c>
      <c r="F41" s="7">
        <v>0</v>
      </c>
      <c r="G41" s="12"/>
      <c r="H41" s="12"/>
      <c r="I41" s="12"/>
      <c r="J41" s="9"/>
      <c r="K41" s="9"/>
      <c r="L41" s="9"/>
    </row>
    <row r="42" spans="1:12">
      <c r="A42" s="7">
        <v>9</v>
      </c>
      <c r="B42" s="7">
        <v>0</v>
      </c>
      <c r="C42" s="8">
        <f>MOD(-180*Freq*15.52*2*SIN(A42*PI()/180)/300,360)</f>
        <v>102.351678895237</v>
      </c>
      <c r="D42" s="7">
        <f>MOD(-180*Freq*2*15.52*2*SIN(A42*PI()/180)/300,360)</f>
        <v>204.703357790474</v>
      </c>
      <c r="E42" s="7">
        <f>MOD(-180*Freq*3*15.52*2*SIN(A42*PI()/180)/300,360)</f>
        <v>307.05503668571077</v>
      </c>
      <c r="F42" s="7">
        <v>0</v>
      </c>
      <c r="G42" s="12"/>
      <c r="H42" s="12"/>
      <c r="I42" s="12"/>
      <c r="J42" s="9"/>
      <c r="K42" s="9"/>
      <c r="L42" s="9"/>
    </row>
    <row r="43" spans="1:12">
      <c r="A43" s="7">
        <v>10</v>
      </c>
      <c r="B43" s="7">
        <v>0</v>
      </c>
      <c r="C43" s="8">
        <f>MOD(-180*Freq*15.52*2*SIN(A43*PI()/180)/300,360)</f>
        <v>34.386983895791104</v>
      </c>
      <c r="D43" s="7">
        <f>MOD(-180*Freq*2*15.52*2*SIN(A43*PI()/180)/300,360)</f>
        <v>68.773967791582209</v>
      </c>
      <c r="E43" s="7">
        <f>MOD(-180*Freq*3*15.52*2*SIN(A43*PI()/180)/300,360)</f>
        <v>103.1609516873732</v>
      </c>
      <c r="F43" s="7">
        <v>0</v>
      </c>
      <c r="G43" s="12"/>
      <c r="H43" s="12"/>
      <c r="I43" s="12"/>
      <c r="J43" s="9"/>
      <c r="K43" s="9"/>
      <c r="L43" s="9"/>
    </row>
    <row r="44" spans="1:12">
      <c r="A44" s="7">
        <v>11</v>
      </c>
      <c r="B44" s="7">
        <v>0</v>
      </c>
      <c r="C44" s="8">
        <f>MOD(-180*Freq*15.52*2*SIN(A44*PI()/180)/300,360)</f>
        <v>326.63113326273276</v>
      </c>
      <c r="D44" s="7">
        <f>MOD(-180*Freq*2*15.52*2*SIN(A44*PI()/180)/300,360)</f>
        <v>293.26226652546552</v>
      </c>
      <c r="E44" s="7">
        <f>MOD(-180*Freq*3*15.52*2*SIN(A44*PI()/180)/300,360)</f>
        <v>259.89339978819817</v>
      </c>
      <c r="F44" s="7">
        <v>0</v>
      </c>
      <c r="G44" s="12"/>
      <c r="H44" s="12"/>
      <c r="I44" s="12"/>
      <c r="J44" s="9"/>
      <c r="K44" s="9"/>
      <c r="L44" s="9"/>
    </row>
    <row r="45" spans="1:12">
      <c r="A45" s="7">
        <v>12</v>
      </c>
      <c r="B45" s="7">
        <v>0</v>
      </c>
      <c r="C45" s="8">
        <f>MOD(-180*Freq*15.52*2*SIN(A45*PI()/180)/300,360)</f>
        <v>259.10476608453075</v>
      </c>
      <c r="D45" s="7">
        <f>MOD(-180*Freq*2*15.52*2*SIN(A45*PI()/180)/300,360)</f>
        <v>158.2095321690615</v>
      </c>
      <c r="E45" s="7">
        <f>MOD(-180*Freq*3*15.52*2*SIN(A45*PI()/180)/300,360)</f>
        <v>57.314298253592369</v>
      </c>
      <c r="F45" s="7">
        <v>0</v>
      </c>
      <c r="G45" s="13"/>
      <c r="H45" s="14"/>
      <c r="I45" s="12"/>
      <c r="J45" s="9"/>
      <c r="K45" s="9"/>
      <c r="L45" s="9"/>
    </row>
    <row r="46" spans="1:12">
      <c r="A46" s="7">
        <v>13</v>
      </c>
      <c r="B46" s="7">
        <v>0</v>
      </c>
      <c r="C46" s="8">
        <f>MOD(-180*Freq*15.52*2*SIN(A46*PI()/180)/300,360)</f>
        <v>191.82845154676988</v>
      </c>
      <c r="D46" s="7">
        <f>MOD(-180*Freq*2*15.52*2*SIN(A46*PI()/180)/300,360)</f>
        <v>23.656903093539768</v>
      </c>
      <c r="E46" s="7">
        <f>MOD(-180*Freq*3*15.52*2*SIN(A46*PI()/180)/300,360)</f>
        <v>215.48535464031011</v>
      </c>
      <c r="F46" s="7">
        <v>0</v>
      </c>
      <c r="G46" s="12"/>
      <c r="H46" s="12"/>
      <c r="I46" s="12"/>
      <c r="J46" s="9"/>
      <c r="K46" s="9"/>
      <c r="L46" s="9"/>
    </row>
    <row r="47" spans="1:12">
      <c r="A47" s="7">
        <v>14</v>
      </c>
      <c r="B47" s="7">
        <v>0</v>
      </c>
      <c r="C47" s="8">
        <f>MOD(-180*Freq*15.52*2*SIN(A47*PI()/180)/300,360)</f>
        <v>124.82268266657911</v>
      </c>
      <c r="D47" s="7">
        <f>MOD(-180*Freq*2*15.52*2*SIN(A47*PI()/180)/300,360)</f>
        <v>249.64536533315822</v>
      </c>
      <c r="E47" s="7">
        <f>MOD(-180*Freq*3*15.52*2*SIN(A47*PI()/180)/300,360)</f>
        <v>14.468047999737792</v>
      </c>
      <c r="F47" s="7">
        <v>0</v>
      </c>
      <c r="G47" s="12"/>
      <c r="H47" s="12"/>
      <c r="I47" s="12"/>
      <c r="J47" s="9"/>
      <c r="K47" s="9"/>
      <c r="L47" s="9"/>
    </row>
    <row r="48" spans="1:12">
      <c r="A48" s="7">
        <v>15</v>
      </c>
      <c r="B48" s="7">
        <v>0</v>
      </c>
      <c r="C48" s="8">
        <f>MOD(-180*Freq*15.52*2*SIN(A48*PI()/180)/300,360)</f>
        <v>58.107870050258725</v>
      </c>
      <c r="D48" s="7">
        <f>MOD(-180*Freq*2*15.52*2*SIN(A48*PI()/180)/300,360)</f>
        <v>116.21574010051745</v>
      </c>
      <c r="E48" s="7">
        <f>MOD(-180*Freq*3*15.52*2*SIN(A48*PI()/180)/300,360)</f>
        <v>174.32361015077595</v>
      </c>
      <c r="F48" s="7">
        <v>0</v>
      </c>
      <c r="G48" s="12"/>
      <c r="H48" s="12"/>
      <c r="I48" s="12"/>
      <c r="J48" s="9"/>
      <c r="K48" s="9"/>
      <c r="L48" s="9"/>
    </row>
    <row r="49" spans="1:12">
      <c r="A49" s="7">
        <v>16</v>
      </c>
      <c r="B49" s="7">
        <v>0</v>
      </c>
      <c r="C49" s="8">
        <f>MOD(-180*Freq*15.52*2*SIN(A49*PI()/180)/300,360)</f>
        <v>351.70433567601208</v>
      </c>
      <c r="D49" s="7">
        <f>MOD(-180*Freq*2*15.52*2*SIN(A49*PI()/180)/300,360)</f>
        <v>343.40867135202416</v>
      </c>
      <c r="E49" s="7">
        <f>MOD(-180*Freq*3*15.52*2*SIN(A49*PI()/180)/300,360)</f>
        <v>335.11300702803601</v>
      </c>
      <c r="F49" s="7">
        <v>0</v>
      </c>
      <c r="G49" s="12"/>
      <c r="H49" s="12"/>
      <c r="I49" s="12"/>
      <c r="J49" s="9"/>
      <c r="K49" s="9"/>
      <c r="L49" s="9"/>
    </row>
    <row r="50" spans="1:12">
      <c r="A50" s="7">
        <v>17</v>
      </c>
      <c r="B50" s="7">
        <v>0</v>
      </c>
      <c r="C50" s="8">
        <f>MOD(-180*Freq*15.52*2*SIN(A50*PI()/180)/300,360)</f>
        <v>285.63230670367534</v>
      </c>
      <c r="D50" s="7">
        <f>MOD(-180*Freq*2*15.52*2*SIN(A50*PI()/180)/300,360)</f>
        <v>211.26461340735068</v>
      </c>
      <c r="E50" s="7">
        <f>MOD(-180*Freq*3*15.52*2*SIN(A50*PI()/180)/300,360)</f>
        <v>136.89692011102579</v>
      </c>
      <c r="F50" s="7">
        <v>0</v>
      </c>
      <c r="G50" s="12"/>
      <c r="H50" s="12"/>
      <c r="I50" s="12"/>
      <c r="J50" s="9"/>
      <c r="K50" s="9"/>
      <c r="L50" s="9"/>
    </row>
    <row r="51" spans="1:12">
      <c r="A51" s="7">
        <v>18</v>
      </c>
      <c r="B51" s="7">
        <v>0</v>
      </c>
      <c r="C51" s="8">
        <f>MOD(-180*Freq*15.52*2*SIN(A51*PI()/180)/300,360)</f>
        <v>219.9119093133279</v>
      </c>
      <c r="D51" s="7">
        <f>MOD(-180*Freq*2*15.52*2*SIN(A51*PI()/180)/300,360)</f>
        <v>79.823818626655793</v>
      </c>
      <c r="E51" s="7">
        <f>MOD(-180*Freq*3*15.52*2*SIN(A51*PI()/180)/300,360)</f>
        <v>299.73572793998346</v>
      </c>
      <c r="F51" s="7">
        <v>0</v>
      </c>
      <c r="G51" s="12"/>
      <c r="H51" s="12"/>
      <c r="I51" s="12"/>
      <c r="J51" s="9"/>
      <c r="K51" s="9"/>
      <c r="L51" s="9"/>
    </row>
    <row r="52" spans="1:12">
      <c r="A52" s="7">
        <v>19</v>
      </c>
      <c r="B52" s="7">
        <v>0</v>
      </c>
      <c r="C52" s="8">
        <f>MOD(-180*Freq*15.52*2*SIN(A52*PI()/180)/300,360)</f>
        <v>154.56316257466187</v>
      </c>
      <c r="D52" s="7">
        <f>MOD(-180*Freq*2*15.52*2*SIN(A52*PI()/180)/300,360)</f>
        <v>309.12632514932375</v>
      </c>
      <c r="E52" s="7">
        <f>MOD(-180*Freq*3*15.52*2*SIN(A52*PI()/180)/300,360)</f>
        <v>103.68948772398608</v>
      </c>
      <c r="F52" s="7">
        <v>0</v>
      </c>
      <c r="G52" s="12"/>
      <c r="H52" s="12"/>
      <c r="I52" s="12"/>
      <c r="J52" s="9"/>
      <c r="K52" s="9"/>
      <c r="L52" s="9"/>
    </row>
    <row r="53" spans="1:12">
      <c r="A53" s="7">
        <v>20</v>
      </c>
      <c r="B53" s="7">
        <v>0</v>
      </c>
      <c r="C53" s="8">
        <f>MOD(-180*Freq*15.52*2*SIN(A53*PI()/180)/300,360)</f>
        <v>89.605972348982277</v>
      </c>
      <c r="D53" s="7">
        <f>MOD(-180*Freq*2*15.52*2*SIN(A53*PI()/180)/300,360)</f>
        <v>179.21194469796455</v>
      </c>
      <c r="E53" s="7">
        <f>MOD(-180*Freq*3*15.52*2*SIN(A53*PI()/180)/300,360)</f>
        <v>268.8179170469466</v>
      </c>
      <c r="F53" s="7">
        <v>0</v>
      </c>
      <c r="G53" s="12"/>
      <c r="H53" s="12"/>
      <c r="I53" s="12"/>
      <c r="J53" s="9"/>
      <c r="K53" s="9"/>
      <c r="L53" s="9"/>
    </row>
    <row r="54" spans="1:12">
      <c r="A54" s="7">
        <v>21</v>
      </c>
      <c r="B54" s="7">
        <v>0</v>
      </c>
      <c r="C54" s="8">
        <f>MOD(-180*Freq*15.52*2*SIN(A54*PI()/180)/300,360)</f>
        <v>25.060125225685624</v>
      </c>
      <c r="D54" s="7">
        <f>MOD(-180*Freq*2*15.52*2*SIN(A54*PI()/180)/300,360)</f>
        <v>50.120250451371248</v>
      </c>
      <c r="E54" s="7">
        <f>MOD(-180*Freq*3*15.52*2*SIN(A54*PI()/180)/300,360)</f>
        <v>75.180375677056873</v>
      </c>
      <c r="F54" s="7">
        <v>0</v>
      </c>
      <c r="G54" s="12"/>
      <c r="H54" s="12"/>
      <c r="I54" s="12"/>
      <c r="J54" s="9"/>
      <c r="K54" s="9"/>
      <c r="L54" s="9"/>
    </row>
    <row r="55" spans="1:12">
      <c r="A55" s="7">
        <v>22</v>
      </c>
      <c r="B55" s="7">
        <v>0</v>
      </c>
      <c r="C55" s="8">
        <f>MOD(-180*Freq*15.52*2*SIN(A55*PI()/180)/300,360)</f>
        <v>320.94528249507584</v>
      </c>
      <c r="D55" s="7">
        <f>MOD(-180*Freq*2*15.52*2*SIN(A55*PI()/180)/300,360)</f>
        <v>281.89056499015169</v>
      </c>
      <c r="E55" s="7">
        <f>MOD(-180*Freq*3*15.52*2*SIN(A55*PI()/180)/300,360)</f>
        <v>242.83584748522662</v>
      </c>
      <c r="F55" s="7">
        <v>0</v>
      </c>
      <c r="G55" s="12"/>
      <c r="H55" s="12"/>
      <c r="I55" s="12"/>
      <c r="J55" s="9"/>
      <c r="K55" s="9"/>
      <c r="L55" s="9"/>
    </row>
    <row r="56" spans="1:12">
      <c r="A56" s="7">
        <v>23</v>
      </c>
      <c r="B56" s="7">
        <v>0</v>
      </c>
      <c r="C56" s="8">
        <f>MOD(-180*Freq*15.52*2*SIN(A56*PI()/180)/300,360)</f>
        <v>257.28097415934258</v>
      </c>
      <c r="D56" s="7">
        <f>MOD(-180*Freq*2*15.52*2*SIN(A56*PI()/180)/300,360)</f>
        <v>154.56194831868515</v>
      </c>
      <c r="E56" s="7">
        <f>MOD(-180*Freq*3*15.52*2*SIN(A56*PI()/180)/300,360)</f>
        <v>51.842922478027504</v>
      </c>
      <c r="F56" s="7">
        <v>0</v>
      </c>
      <c r="G56" s="12"/>
      <c r="H56" s="12"/>
      <c r="I56" s="12"/>
      <c r="J56" s="9"/>
      <c r="K56" s="9"/>
      <c r="L56" s="9"/>
    </row>
    <row r="57" spans="1:12">
      <c r="A57" s="7">
        <v>24</v>
      </c>
      <c r="B57" s="7">
        <v>0</v>
      </c>
      <c r="C57" s="8">
        <f>MOD(-180*Freq*15.52*2*SIN(A57*PI()/180)/300,360)</f>
        <v>194.08659298353541</v>
      </c>
      <c r="D57" s="7">
        <f>MOD(-180*Freq*2*15.52*2*SIN(A57*PI()/180)/300,360)</f>
        <v>28.173185967070822</v>
      </c>
      <c r="E57" s="7">
        <f>MOD(-180*Freq*3*15.52*2*SIN(A57*PI()/180)/300,360)</f>
        <v>222.25977895060532</v>
      </c>
      <c r="F57" s="7">
        <v>0</v>
      </c>
      <c r="G57" s="12"/>
      <c r="H57" s="12"/>
      <c r="I57" s="12"/>
      <c r="J57" s="9"/>
      <c r="K57" s="9"/>
      <c r="L57" s="9"/>
    </row>
    <row r="58" spans="1:12">
      <c r="A58" s="7">
        <v>25</v>
      </c>
      <c r="B58" s="7">
        <v>0</v>
      </c>
      <c r="C58" s="8">
        <f>MOD(-180*Freq*15.52*2*SIN(A58*PI()/180)/300,360)</f>
        <v>131.38138858833736</v>
      </c>
      <c r="D58" s="7">
        <f>MOD(-180*Freq*2*15.52*2*SIN(A58*PI()/180)/300,360)</f>
        <v>262.76277717667472</v>
      </c>
      <c r="E58" s="7">
        <f>MOD(-180*Freq*3*15.52*2*SIN(A58*PI()/180)/300,360)</f>
        <v>34.144165765012076</v>
      </c>
      <c r="F58" s="7">
        <v>0</v>
      </c>
      <c r="G58" s="12"/>
      <c r="H58" s="12"/>
      <c r="I58" s="12"/>
      <c r="J58" s="9"/>
      <c r="K58" s="9"/>
      <c r="L58" s="9"/>
    </row>
    <row r="59" spans="1:12">
      <c r="A59" s="7">
        <v>26</v>
      </c>
      <c r="B59" s="7">
        <v>0</v>
      </c>
      <c r="C59" s="8">
        <f>MOD(-180*Freq*15.52*2*SIN(A59*PI()/180)/300,360)</f>
        <v>69.184461586447242</v>
      </c>
      <c r="D59" s="7">
        <f>MOD(-180*Freq*2*15.52*2*SIN(A59*PI()/180)/300,360)</f>
        <v>138.36892317289448</v>
      </c>
      <c r="E59" s="7">
        <f>MOD(-180*Freq*3*15.52*2*SIN(A59*PI()/180)/300,360)</f>
        <v>207.5533847593415</v>
      </c>
      <c r="F59" s="7">
        <v>0</v>
      </c>
      <c r="G59" s="12"/>
      <c r="H59" s="12"/>
      <c r="I59" s="12"/>
      <c r="J59" s="9"/>
      <c r="K59" s="9"/>
      <c r="L59" s="9"/>
    </row>
    <row r="60" spans="1:12">
      <c r="A60" s="7">
        <v>27</v>
      </c>
      <c r="B60" s="7">
        <v>0</v>
      </c>
      <c r="C60" s="8">
        <f>MOD(-180*Freq*15.52*2*SIN(A60*PI()/180)/300,360)</f>
        <v>7.5147577643444947</v>
      </c>
      <c r="D60" s="7">
        <f>MOD(-180*Freq*2*15.52*2*SIN(A60*PI()/180)/300,360)</f>
        <v>15.029515528688989</v>
      </c>
      <c r="E60" s="7">
        <f>MOD(-180*Freq*3*15.52*2*SIN(A60*PI()/180)/300,360)</f>
        <v>22.544273293034166</v>
      </c>
      <c r="F60" s="7">
        <v>0</v>
      </c>
      <c r="G60" s="12"/>
      <c r="H60" s="12"/>
      <c r="I60" s="12"/>
      <c r="J60" s="9"/>
      <c r="K60" s="9"/>
      <c r="L60" s="9"/>
    </row>
    <row r="61" spans="1:12">
      <c r="A61" s="7">
        <v>28</v>
      </c>
      <c r="B61" s="7">
        <v>0</v>
      </c>
      <c r="C61" s="8">
        <f>MOD(-180*Freq*15.52*2*SIN(A61*PI()/180)/300,360)</f>
        <v>306.39106231122082</v>
      </c>
      <c r="D61" s="7">
        <f>MOD(-180*Freq*2*15.52*2*SIN(A61*PI()/180)/300,360)</f>
        <v>252.78212462244164</v>
      </c>
      <c r="E61" s="7">
        <f>MOD(-180*Freq*3*15.52*2*SIN(A61*PI()/180)/300,360)</f>
        <v>199.17318693366269</v>
      </c>
      <c r="F61" s="7">
        <v>0</v>
      </c>
      <c r="G61" s="12"/>
      <c r="H61" s="12"/>
      <c r="I61" s="12"/>
      <c r="J61" s="9"/>
      <c r="K61" s="9"/>
      <c r="L61" s="9"/>
    </row>
    <row r="62" spans="1:12">
      <c r="A62" s="7">
        <v>29</v>
      </c>
      <c r="B62" s="7">
        <v>0</v>
      </c>
      <c r="C62" s="8">
        <f>MOD(-180*Freq*15.52*2*SIN(A62*PI()/180)/300,360)</f>
        <v>245.83199409683039</v>
      </c>
      <c r="D62" s="7">
        <f>MOD(-180*Freq*2*15.52*2*SIN(A62*PI()/180)/300,360)</f>
        <v>131.66398819366077</v>
      </c>
      <c r="E62" s="7">
        <f>MOD(-180*Freq*3*15.52*2*SIN(A62*PI()/180)/300,360)</f>
        <v>17.495982290492066</v>
      </c>
      <c r="F62" s="7">
        <v>0</v>
      </c>
      <c r="G62" s="12"/>
      <c r="H62" s="12"/>
      <c r="I62" s="12"/>
      <c r="J62" s="9"/>
      <c r="K62" s="9"/>
      <c r="L62" s="9"/>
    </row>
    <row r="63" spans="1:12">
      <c r="A63" s="7">
        <v>30</v>
      </c>
      <c r="B63" s="7">
        <v>0</v>
      </c>
      <c r="C63" s="8">
        <f>MOD(-180*Freq*15.52*2*SIN(A63*PI()/180)/300,360)</f>
        <v>185.85600000000045</v>
      </c>
      <c r="D63" s="7">
        <f>MOD(-180*Freq*2*15.52*2*SIN(A63*PI()/180)/300,360)</f>
        <v>11.712000000000899</v>
      </c>
      <c r="E63" s="7">
        <f>MOD(-180*Freq*3*15.52*2*SIN(A63*PI()/180)/300,360)</f>
        <v>197.56800000000112</v>
      </c>
      <c r="F63" s="7">
        <v>0</v>
      </c>
      <c r="G63" s="12">
        <v>186</v>
      </c>
      <c r="H63" s="12">
        <v>11.5</v>
      </c>
      <c r="I63" s="12">
        <v>196.8</v>
      </c>
      <c r="J63" s="9"/>
      <c r="K63" s="9"/>
      <c r="L63" s="9"/>
    </row>
    <row r="64" spans="1:1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</sheetData>
  <mergeCells count="2">
    <mergeCell ref="C1:E1"/>
    <mergeCell ref="G1:I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F5C7-0C63-4F58-9155-B62E0BA0F8D1}">
  <dimension ref="A1:I63"/>
  <sheetViews>
    <sheetView tabSelected="1" topLeftCell="A34" workbookViewId="0">
      <selection activeCell="H66" sqref="H66"/>
    </sheetView>
  </sheetViews>
  <sheetFormatPr defaultRowHeight="14"/>
  <cols>
    <col min="1" max="1" width="10" customWidth="1"/>
    <col min="2" max="3" width="19.08984375" customWidth="1"/>
    <col min="4" max="4" width="19.6328125" customWidth="1"/>
    <col min="5" max="5" width="18" customWidth="1"/>
    <col min="6" max="6" width="10.26953125" customWidth="1"/>
    <col min="9" max="9" width="9.7265625" customWidth="1"/>
  </cols>
  <sheetData>
    <row r="1" spans="1:9" ht="15.5">
      <c r="A1" s="6" t="s">
        <v>9</v>
      </c>
      <c r="B1" s="1">
        <v>215</v>
      </c>
      <c r="C1" s="10" t="s">
        <v>11</v>
      </c>
      <c r="D1" s="10"/>
      <c r="E1" s="10"/>
      <c r="F1" s="11"/>
      <c r="G1" s="10" t="s">
        <v>10</v>
      </c>
      <c r="H1" s="10"/>
      <c r="I1" s="10"/>
    </row>
    <row r="2" spans="1:9" ht="16.5">
      <c r="A2" s="6" t="s">
        <v>8</v>
      </c>
      <c r="B2" s="5" t="s">
        <v>0</v>
      </c>
      <c r="C2" s="5" t="s">
        <v>1</v>
      </c>
      <c r="D2" s="5" t="s">
        <v>2</v>
      </c>
      <c r="E2" s="5" t="s">
        <v>3</v>
      </c>
      <c r="F2" s="2" t="s">
        <v>4</v>
      </c>
      <c r="G2" s="4" t="s">
        <v>5</v>
      </c>
      <c r="H2" s="4" t="s">
        <v>6</v>
      </c>
      <c r="I2" s="4" t="s">
        <v>7</v>
      </c>
    </row>
    <row r="3" spans="1:9">
      <c r="A3" s="7">
        <v>-30</v>
      </c>
      <c r="B3" s="7">
        <v>0</v>
      </c>
      <c r="C3" s="8">
        <f>MOD(-180*Freq*15.52*2*SIN(A3*PI()/180)/300,360)</f>
        <v>202.0799999999997</v>
      </c>
      <c r="D3" s="7">
        <f>MOD(-180*Freq*2*15.52*2*SIN(A3*PI()/180)/300,360)</f>
        <v>44.1599999999994</v>
      </c>
      <c r="E3" s="7">
        <f>MOD(-180*Freq*3*15.52*2*SIN(A3*PI()/180)/300,360)</f>
        <v>246.23999999999887</v>
      </c>
      <c r="F3" s="7">
        <v>0</v>
      </c>
      <c r="G3" s="12">
        <v>202</v>
      </c>
      <c r="H3" s="12">
        <v>44</v>
      </c>
      <c r="I3" s="12">
        <v>246</v>
      </c>
    </row>
    <row r="4" spans="1:9">
      <c r="A4" s="7">
        <v>-29</v>
      </c>
      <c r="B4" s="7">
        <v>0</v>
      </c>
      <c r="C4" s="8">
        <f>MOD(-180*Freq*15.52*2*SIN(A4*PI()/180)/300,360)</f>
        <v>141.2552890055731</v>
      </c>
      <c r="D4" s="7">
        <f>MOD(-180*Freq*2*15.52*2*SIN(A4*PI()/180)/300,360)</f>
        <v>282.51057801114621</v>
      </c>
      <c r="E4" s="7">
        <f>MOD(-180*Freq*3*15.52*2*SIN(A4*PI()/180)/300,360)</f>
        <v>63.765867016719312</v>
      </c>
      <c r="F4" s="7">
        <v>0</v>
      </c>
      <c r="G4" s="12"/>
      <c r="H4" s="12"/>
      <c r="I4" s="12"/>
    </row>
    <row r="5" spans="1:9">
      <c r="A5" s="7">
        <v>-28</v>
      </c>
      <c r="B5" s="7">
        <v>0</v>
      </c>
      <c r="C5" s="8">
        <f>MOD(-180*Freq*15.52*2*SIN(A5*PI()/180)/300,360)</f>
        <v>79.839252844752536</v>
      </c>
      <c r="D5" s="7">
        <f>MOD(-180*Freq*2*15.52*2*SIN(A5*PI()/180)/300,360)</f>
        <v>159.67850568950507</v>
      </c>
      <c r="E5" s="7">
        <f>MOD(-180*Freq*3*15.52*2*SIN(A5*PI()/180)/300,360)</f>
        <v>239.51775853425715</v>
      </c>
      <c r="F5" s="7">
        <v>0</v>
      </c>
      <c r="G5" s="12"/>
      <c r="H5" s="12"/>
      <c r="I5" s="12"/>
    </row>
    <row r="6" spans="1:9">
      <c r="A6" s="7">
        <v>-27</v>
      </c>
      <c r="B6" s="7">
        <v>0</v>
      </c>
      <c r="C6" s="8">
        <f>MOD(-180*Freq*15.52*2*SIN(A6*PI()/180)/300,360)</f>
        <v>17.850599437103483</v>
      </c>
      <c r="D6" s="7">
        <f>MOD(-180*Freq*2*15.52*2*SIN(A6*PI()/180)/300,360)</f>
        <v>35.701198874206966</v>
      </c>
      <c r="E6" s="7">
        <f>MOD(-180*Freq*3*15.52*2*SIN(A6*PI()/180)/300,360)</f>
        <v>53.551798311310449</v>
      </c>
      <c r="F6" s="7">
        <v>0</v>
      </c>
      <c r="G6" s="12"/>
      <c r="H6" s="12"/>
      <c r="I6" s="12"/>
    </row>
    <row r="7" spans="1:9">
      <c r="A7" s="7">
        <v>-26</v>
      </c>
      <c r="B7" s="7">
        <v>0</v>
      </c>
      <c r="C7" s="8">
        <f>MOD(-180*Freq*15.52*2*SIN(A7*PI()/180)/300,360)</f>
        <v>315.3082111269523</v>
      </c>
      <c r="D7" s="7">
        <f>MOD(-180*Freq*2*15.52*2*SIN(A7*PI()/180)/300,360)</f>
        <v>270.6164222539046</v>
      </c>
      <c r="E7" s="7">
        <f>MOD(-180*Freq*3*15.52*2*SIN(A7*PI()/180)/300,360)</f>
        <v>225.9246333808569</v>
      </c>
      <c r="F7" s="7">
        <v>0</v>
      </c>
      <c r="G7" s="12"/>
      <c r="H7" s="12"/>
      <c r="I7" s="12"/>
    </row>
    <row r="8" spans="1:9">
      <c r="A8" s="7">
        <v>-25</v>
      </c>
      <c r="B8" s="7">
        <v>0</v>
      </c>
      <c r="C8" s="8">
        <f>MOD(-180*Freq*15.52*2*SIN(A8*PI()/180)/300,360)</f>
        <v>252.23113893163918</v>
      </c>
      <c r="D8" s="7">
        <f>MOD(-180*Freq*2*15.52*2*SIN(A8*PI()/180)/300,360)</f>
        <v>144.46227786327836</v>
      </c>
      <c r="E8" s="7">
        <f>MOD(-180*Freq*3*15.52*2*SIN(A8*PI()/180)/300,360)</f>
        <v>36.693416794917539</v>
      </c>
      <c r="F8" s="7">
        <v>0</v>
      </c>
      <c r="G8" s="13"/>
      <c r="H8" s="14"/>
      <c r="I8" s="12"/>
    </row>
    <row r="9" spans="1:9">
      <c r="A9" s="7">
        <v>-24</v>
      </c>
      <c r="B9" s="7">
        <v>0</v>
      </c>
      <c r="C9" s="8">
        <f>MOD(-180*Freq*15.52*2*SIN(A9*PI()/180)/300,360)</f>
        <v>188.63859673839579</v>
      </c>
      <c r="D9" s="7">
        <f>MOD(-180*Freq*2*15.52*2*SIN(A9*PI()/180)/300,360)</f>
        <v>17.277193476791581</v>
      </c>
      <c r="E9" s="7">
        <f>MOD(-180*Freq*3*15.52*2*SIN(A9*PI()/180)/300,360)</f>
        <v>205.91579021518828</v>
      </c>
      <c r="F9" s="7">
        <v>0</v>
      </c>
      <c r="G9" s="12"/>
      <c r="H9" s="12"/>
      <c r="I9" s="12"/>
    </row>
    <row r="10" spans="1:9">
      <c r="A10" s="7">
        <v>-23</v>
      </c>
      <c r="B10" s="7">
        <v>0</v>
      </c>
      <c r="C10" s="8">
        <f>MOD(-180*Freq*15.52*2*SIN(A10*PI()/180)/300,360)</f>
        <v>124.54995545161023</v>
      </c>
      <c r="D10" s="7">
        <f>MOD(-180*Freq*2*15.52*2*SIN(A10*PI()/180)/300,360)</f>
        <v>249.09991090322046</v>
      </c>
      <c r="E10" s="7">
        <f>MOD(-180*Freq*3*15.52*2*SIN(A10*PI()/180)/300,360)</f>
        <v>13.64986635483092</v>
      </c>
      <c r="F10" s="7">
        <v>0</v>
      </c>
      <c r="G10" s="12"/>
      <c r="H10" s="12"/>
      <c r="I10" s="12"/>
    </row>
    <row r="11" spans="1:9">
      <c r="A11" s="7">
        <v>-22</v>
      </c>
      <c r="B11" s="7">
        <v>0</v>
      </c>
      <c r="C11" s="8">
        <f>MOD(-180*Freq*15.52*2*SIN(A11*PI()/180)/300,360)</f>
        <v>59.984737092258229</v>
      </c>
      <c r="D11" s="7">
        <f>MOD(-180*Freq*2*15.52*2*SIN(A11*PI()/180)/300,360)</f>
        <v>119.96947418451646</v>
      </c>
      <c r="E11" s="7">
        <f>MOD(-180*Freq*3*15.52*2*SIN(A11*PI()/180)/300,360)</f>
        <v>179.95421127677491</v>
      </c>
      <c r="F11" s="7">
        <v>0</v>
      </c>
      <c r="G11" s="12"/>
      <c r="H11" s="12"/>
      <c r="I11" s="12"/>
    </row>
    <row r="12" spans="1:9">
      <c r="A12" s="7">
        <v>-21</v>
      </c>
      <c r="B12" s="7">
        <v>0</v>
      </c>
      <c r="C12" s="8">
        <f>MOD(-180*Freq*15.52*2*SIN(A12*PI()/180)/300,360)</f>
        <v>354.96260885130937</v>
      </c>
      <c r="D12" s="7">
        <f>MOD(-180*Freq*2*15.52*2*SIN(A12*PI()/180)/300,360)</f>
        <v>349.92521770261874</v>
      </c>
      <c r="E12" s="7">
        <f>MOD(-180*Freq*3*15.52*2*SIN(A12*PI()/180)/300,360)</f>
        <v>344.88782655392879</v>
      </c>
      <c r="F12" s="7">
        <v>0</v>
      </c>
      <c r="G12" s="12"/>
      <c r="H12" s="12"/>
      <c r="I12" s="12"/>
    </row>
    <row r="13" spans="1:9">
      <c r="A13" s="7">
        <v>-20</v>
      </c>
      <c r="B13" s="7">
        <v>0</v>
      </c>
      <c r="C13" s="8">
        <f>MOD(-180*Freq*15.52*2*SIN(A13*PI()/180)/300,360)</f>
        <v>289.5033770989096</v>
      </c>
      <c r="D13" s="7">
        <f>MOD(-180*Freq*2*15.52*2*SIN(A13*PI()/180)/300,360)</f>
        <v>219.00675419781919</v>
      </c>
      <c r="E13" s="7">
        <f>MOD(-180*Freq*3*15.52*2*SIN(A13*PI()/180)/300,360)</f>
        <v>148.51013129672901</v>
      </c>
      <c r="F13" s="7">
        <v>0</v>
      </c>
      <c r="G13" s="12"/>
      <c r="H13" s="12"/>
      <c r="I13" s="12"/>
    </row>
    <row r="14" spans="1:9">
      <c r="A14" s="7">
        <v>-19</v>
      </c>
      <c r="B14" s="7">
        <v>0</v>
      </c>
      <c r="C14" s="8">
        <f>MOD(-180*Freq*15.52*2*SIN(A14*PI()/180)/300,360)</f>
        <v>223.6269813511683</v>
      </c>
      <c r="D14" s="7">
        <f>MOD(-180*Freq*2*15.52*2*SIN(A14*PI()/180)/300,360)</f>
        <v>87.253962702336594</v>
      </c>
      <c r="E14" s="7">
        <f>MOD(-180*Freq*3*15.52*2*SIN(A14*PI()/180)/300,360)</f>
        <v>310.88094405350512</v>
      </c>
      <c r="F14" s="7">
        <v>0</v>
      </c>
      <c r="G14" s="13"/>
      <c r="H14" s="14"/>
      <c r="I14" s="12"/>
    </row>
    <row r="15" spans="1:9">
      <c r="A15" s="7">
        <v>-18</v>
      </c>
      <c r="B15" s="7">
        <v>0</v>
      </c>
      <c r="C15" s="8">
        <f>MOD(-180*Freq*15.52*2*SIN(A15*PI()/180)/300,360)</f>
        <v>157.35348819638943</v>
      </c>
      <c r="D15" s="7">
        <f>MOD(-180*Freq*2*15.52*2*SIN(A15*PI()/180)/300,360)</f>
        <v>314.70697639277887</v>
      </c>
      <c r="E15" s="7">
        <f>MOD(-180*Freq*3*15.52*2*SIN(A15*PI()/180)/300,360)</f>
        <v>112.06046458916808</v>
      </c>
      <c r="F15" s="7">
        <v>0</v>
      </c>
      <c r="G15" s="12"/>
      <c r="H15" s="12"/>
      <c r="I15" s="12"/>
    </row>
    <row r="16" spans="1:9">
      <c r="A16" s="7">
        <v>-17</v>
      </c>
      <c r="B16" s="7">
        <v>0</v>
      </c>
      <c r="C16" s="8">
        <f>MOD(-180*Freq*15.52*2*SIN(A16*PI()/180)/300,360)</f>
        <v>90.703085182593668</v>
      </c>
      <c r="D16" s="7">
        <f>MOD(-180*Freq*2*15.52*2*SIN(A16*PI()/180)/300,360)</f>
        <v>181.40617036518734</v>
      </c>
      <c r="E16" s="7">
        <f>MOD(-180*Freq*3*15.52*2*SIN(A16*PI()/180)/300,360)</f>
        <v>272.10925554778123</v>
      </c>
      <c r="F16" s="7">
        <v>0</v>
      </c>
      <c r="G16" s="12"/>
      <c r="H16" s="12"/>
      <c r="I16" s="12"/>
    </row>
    <row r="17" spans="1:9">
      <c r="A17" s="7">
        <v>-16</v>
      </c>
      <c r="B17" s="7">
        <v>0</v>
      </c>
      <c r="C17" s="8">
        <f>MOD(-180*Freq*15.52*2*SIN(A17*PI()/180)/300,360)</f>
        <v>23.696074668195479</v>
      </c>
      <c r="D17" s="7">
        <f>MOD(-180*Freq*2*15.52*2*SIN(A17*PI()/180)/300,360)</f>
        <v>47.392149336390958</v>
      </c>
      <c r="E17" s="7">
        <f>MOD(-180*Freq*3*15.52*2*SIN(A17*PI()/180)/300,360)</f>
        <v>71.088224004586209</v>
      </c>
      <c r="F17" s="7">
        <v>0</v>
      </c>
      <c r="G17" s="12"/>
      <c r="H17" s="12"/>
      <c r="I17" s="12"/>
    </row>
    <row r="18" spans="1:9">
      <c r="A18" s="7">
        <v>-15</v>
      </c>
      <c r="B18" s="7">
        <v>0</v>
      </c>
      <c r="C18" s="8">
        <f>MOD(-180*Freq*15.52*2*SIN(A18*PI()/180)/300,360)</f>
        <v>316.35286763770955</v>
      </c>
      <c r="D18" s="7">
        <f>MOD(-180*Freq*2*15.52*2*SIN(A18*PI()/180)/300,360)</f>
        <v>272.7057352754191</v>
      </c>
      <c r="E18" s="7">
        <f>MOD(-180*Freq*3*15.52*2*SIN(A18*PI()/180)/300,360)</f>
        <v>229.0586029131282</v>
      </c>
      <c r="F18" s="7">
        <v>0</v>
      </c>
      <c r="G18" s="12"/>
      <c r="H18" s="12"/>
      <c r="I18" s="12"/>
    </row>
    <row r="19" spans="1:9">
      <c r="A19" s="7">
        <v>-14</v>
      </c>
      <c r="B19" s="7">
        <v>0</v>
      </c>
      <c r="C19" s="8">
        <f>MOD(-180*Freq*15.52*2*SIN(A19*PI()/180)/300,360)</f>
        <v>248.6939774843654</v>
      </c>
      <c r="D19" s="7">
        <f>MOD(-180*Freq*2*15.52*2*SIN(A19*PI()/180)/300,360)</f>
        <v>137.38795496873081</v>
      </c>
      <c r="E19" s="7">
        <f>MOD(-180*Freq*3*15.52*2*SIN(A19*PI()/180)/300,360)</f>
        <v>26.08193245309667</v>
      </c>
      <c r="F19" s="7">
        <v>0</v>
      </c>
      <c r="G19" s="12"/>
      <c r="H19" s="12"/>
      <c r="I19" s="12"/>
    </row>
    <row r="20" spans="1:9">
      <c r="A20" s="7">
        <v>-13</v>
      </c>
      <c r="B20" s="7">
        <v>0</v>
      </c>
      <c r="C20" s="8">
        <f>MOD(-180*Freq*15.52*2*SIN(A20*PI()/180)/300,360)</f>
        <v>180.74001376153046</v>
      </c>
      <c r="D20" s="7">
        <f>MOD(-180*Freq*2*15.52*2*SIN(A20*PI()/180)/300,360)</f>
        <v>1.4800275230609259</v>
      </c>
      <c r="E20" s="7">
        <f>MOD(-180*Freq*3*15.52*2*SIN(A20*PI()/180)/300,360)</f>
        <v>182.22004128459139</v>
      </c>
      <c r="F20" s="7">
        <v>0</v>
      </c>
      <c r="G20" s="12"/>
      <c r="H20" s="12"/>
      <c r="I20" s="12"/>
    </row>
    <row r="21" spans="1:9">
      <c r="A21" s="7">
        <v>-12</v>
      </c>
      <c r="B21" s="7">
        <v>0</v>
      </c>
      <c r="C21" s="8">
        <f>MOD(-180*Freq*15.52*2*SIN(A21*PI()/180)/300,360)</f>
        <v>112.51167590483919</v>
      </c>
      <c r="D21" s="7">
        <f>MOD(-180*Freq*2*15.52*2*SIN(A21*PI()/180)/300,360)</f>
        <v>225.02335180967839</v>
      </c>
      <c r="E21" s="7">
        <f>MOD(-180*Freq*3*15.52*2*SIN(A21*PI()/180)/300,360)</f>
        <v>337.53502771451758</v>
      </c>
      <c r="F21" s="7">
        <v>0</v>
      </c>
      <c r="G21" s="12"/>
      <c r="H21" s="12"/>
      <c r="I21" s="12"/>
    </row>
    <row r="22" spans="1:9">
      <c r="A22" s="7">
        <v>-11</v>
      </c>
      <c r="B22" s="7">
        <v>0</v>
      </c>
      <c r="C22" s="8">
        <f>MOD(-180*Freq*15.52*2*SIN(A22*PI()/180)/300,360)</f>
        <v>44.029746926945563</v>
      </c>
      <c r="D22" s="7">
        <f>MOD(-180*Freq*2*15.52*2*SIN(A22*PI()/180)/300,360)</f>
        <v>88.059493853891126</v>
      </c>
      <c r="E22" s="7">
        <f>MOD(-180*Freq*3*15.52*2*SIN(A22*PI()/180)/300,360)</f>
        <v>132.08924078083692</v>
      </c>
      <c r="F22" s="7">
        <v>0</v>
      </c>
      <c r="G22" s="12"/>
      <c r="H22" s="12"/>
      <c r="I22" s="12"/>
    </row>
    <row r="23" spans="1:9">
      <c r="A23" s="7">
        <v>-10</v>
      </c>
      <c r="B23" s="7">
        <v>0</v>
      </c>
      <c r="C23" s="8">
        <f>MOD(-180*Freq*15.52*2*SIN(A23*PI()/180)/300,360)</f>
        <v>335.31508708681577</v>
      </c>
      <c r="D23" s="7">
        <f>MOD(-180*Freq*2*15.52*2*SIN(A23*PI()/180)/300,360)</f>
        <v>310.63017417363153</v>
      </c>
      <c r="E23" s="7">
        <f>MOD(-180*Freq*3*15.52*2*SIN(A23*PI()/180)/300,360)</f>
        <v>285.9452612604473</v>
      </c>
      <c r="F23" s="7">
        <v>0</v>
      </c>
      <c r="G23" s="12"/>
      <c r="H23" s="12"/>
      <c r="I23" s="12"/>
    </row>
    <row r="24" spans="1:9">
      <c r="A24" s="7">
        <v>-9</v>
      </c>
      <c r="B24" s="7">
        <v>0</v>
      </c>
      <c r="C24" s="8">
        <f>MOD(-180*Freq*15.52*2*SIN(A24*PI()/180)/300,360)</f>
        <v>266.38862753549085</v>
      </c>
      <c r="D24" s="7">
        <f>MOD(-180*Freq*2*15.52*2*SIN(A24*PI()/180)/300,360)</f>
        <v>172.77725507098171</v>
      </c>
      <c r="E24" s="7">
        <f>MOD(-180*Freq*3*15.52*2*SIN(A24*PI()/180)/300,360)</f>
        <v>79.165882606472678</v>
      </c>
      <c r="F24" s="7">
        <v>0</v>
      </c>
      <c r="G24" s="12"/>
      <c r="H24" s="12"/>
      <c r="I24" s="12"/>
    </row>
    <row r="25" spans="1:9">
      <c r="A25" s="7">
        <v>-8</v>
      </c>
      <c r="B25" s="7">
        <v>0</v>
      </c>
      <c r="C25" s="8">
        <f>MOD(-180*Freq*15.52*2*SIN(A25*PI()/180)/300,360)</f>
        <v>197.27136394025558</v>
      </c>
      <c r="D25" s="7">
        <f>MOD(-180*Freq*2*15.52*2*SIN(A25*PI()/180)/300,360)</f>
        <v>34.542727880511165</v>
      </c>
      <c r="E25" s="7">
        <f>MOD(-180*Freq*3*15.52*2*SIN(A25*PI()/180)/300,360)</f>
        <v>231.81409182076686</v>
      </c>
      <c r="F25" s="7">
        <v>0</v>
      </c>
      <c r="G25" s="12"/>
      <c r="H25" s="12"/>
      <c r="I25" s="12"/>
    </row>
    <row r="26" spans="1:9">
      <c r="A26" s="7">
        <v>-7</v>
      </c>
      <c r="B26" s="7">
        <v>0</v>
      </c>
      <c r="C26" s="8">
        <f>MOD(-180*Freq*15.52*2*SIN(A26*PI()/180)/300,360)</f>
        <v>127.98435008915527</v>
      </c>
      <c r="D26" s="7">
        <f>MOD(-180*Freq*2*15.52*2*SIN(A26*PI()/180)/300,360)</f>
        <v>255.96870017831054</v>
      </c>
      <c r="E26" s="7">
        <f>MOD(-180*Freq*3*15.52*2*SIN(A26*PI()/180)/300,360)</f>
        <v>23.953050267465869</v>
      </c>
      <c r="F26" s="7">
        <v>0</v>
      </c>
      <c r="G26" s="12"/>
      <c r="H26" s="12"/>
      <c r="I26" s="12"/>
    </row>
    <row r="27" spans="1:9">
      <c r="A27" s="7">
        <v>-6</v>
      </c>
      <c r="B27" s="7">
        <v>0</v>
      </c>
      <c r="C27" s="8">
        <f>MOD(-180*Freq*15.52*2*SIN(A27*PI()/180)/300,360)</f>
        <v>58.548691477807267</v>
      </c>
      <c r="D27" s="7">
        <f>MOD(-180*Freq*2*15.52*2*SIN(A27*PI()/180)/300,360)</f>
        <v>117.09738295561453</v>
      </c>
      <c r="E27" s="7">
        <f>MOD(-180*Freq*3*15.52*2*SIN(A27*PI()/180)/300,360)</f>
        <v>175.64607443342175</v>
      </c>
      <c r="F27" s="7">
        <v>0</v>
      </c>
      <c r="G27" s="12"/>
      <c r="H27" s="12"/>
      <c r="I27" s="12"/>
    </row>
    <row r="28" spans="1:9">
      <c r="A28" s="7">
        <v>-5</v>
      </c>
      <c r="B28" s="7">
        <v>0</v>
      </c>
      <c r="C28" s="8">
        <f>MOD(-180*Freq*15.52*2*SIN(A28*PI()/180)/300,360)</f>
        <v>348.98553888046297</v>
      </c>
      <c r="D28" s="7">
        <f>MOD(-180*Freq*2*15.52*2*SIN(A28*PI()/180)/300,360)</f>
        <v>337.97107776092594</v>
      </c>
      <c r="E28" s="7">
        <f>MOD(-180*Freq*3*15.52*2*SIN(A28*PI()/180)/300,360)</f>
        <v>326.95661664138879</v>
      </c>
      <c r="F28" s="7">
        <v>0</v>
      </c>
      <c r="G28" s="12"/>
      <c r="H28" s="12"/>
      <c r="I28" s="12"/>
    </row>
    <row r="29" spans="1:9">
      <c r="A29" s="7">
        <v>-4</v>
      </c>
      <c r="B29" s="7">
        <v>0</v>
      </c>
      <c r="C29" s="8">
        <f>MOD(-180*Freq*15.52*2*SIN(A29*PI()/180)/300,360)</f>
        <v>279.31608190727678</v>
      </c>
      <c r="D29" s="7">
        <f>MOD(-180*Freq*2*15.52*2*SIN(A29*PI()/180)/300,360)</f>
        <v>198.63216381455356</v>
      </c>
      <c r="E29" s="7">
        <f>MOD(-180*Freq*3*15.52*2*SIN(A29*PI()/180)/300,360)</f>
        <v>117.94824572183029</v>
      </c>
      <c r="F29" s="7">
        <v>0</v>
      </c>
      <c r="G29" s="12"/>
      <c r="H29" s="12"/>
      <c r="I29" s="12"/>
    </row>
    <row r="30" spans="1:9">
      <c r="A30" s="7">
        <v>-3</v>
      </c>
      <c r="B30" s="7">
        <v>0</v>
      </c>
      <c r="C30" s="8">
        <f>MOD(-180*Freq*15.52*2*SIN(A30*PI()/180)/300,360)</f>
        <v>209.56154254974595</v>
      </c>
      <c r="D30" s="7">
        <f>MOD(-180*Freq*2*15.52*2*SIN(A30*PI()/180)/300,360)</f>
        <v>59.123085099491902</v>
      </c>
      <c r="E30" s="7">
        <f>MOD(-180*Freq*3*15.52*2*SIN(A30*PI()/180)/300,360)</f>
        <v>268.68462764923788</v>
      </c>
      <c r="F30" s="7">
        <v>0</v>
      </c>
      <c r="G30" s="12"/>
      <c r="H30" s="12"/>
      <c r="I30" s="12"/>
    </row>
    <row r="31" spans="1:9">
      <c r="A31" s="7">
        <v>-2</v>
      </c>
      <c r="B31" s="7">
        <v>0</v>
      </c>
      <c r="C31" s="8">
        <f>MOD(-180*Freq*15.52*2*SIN(A31*PI()/180)/300,360)</f>
        <v>139.74316871628628</v>
      </c>
      <c r="D31" s="7">
        <f>MOD(-180*Freq*2*15.52*2*SIN(A31*PI()/180)/300,360)</f>
        <v>279.48633743257255</v>
      </c>
      <c r="E31" s="7">
        <f>MOD(-180*Freq*3*15.52*2*SIN(A31*PI()/180)/300,360)</f>
        <v>59.229506148858832</v>
      </c>
      <c r="F31" s="7">
        <v>0</v>
      </c>
      <c r="G31" s="12"/>
      <c r="H31" s="12"/>
      <c r="I31" s="12"/>
    </row>
    <row r="32" spans="1:9">
      <c r="A32" s="7">
        <v>-1</v>
      </c>
      <c r="B32" s="7">
        <v>0</v>
      </c>
      <c r="C32" s="8">
        <f>MOD(-180*Freq*15.52*2*SIN(A32*PI()/180)/300,360)</f>
        <v>69.88222775991315</v>
      </c>
      <c r="D32" s="7">
        <f>MOD(-180*Freq*2*15.52*2*SIN(A32*PI()/180)/300,360)</f>
        <v>139.7644555198263</v>
      </c>
      <c r="E32" s="7">
        <f>MOD(-180*Freq*3*15.52*2*SIN(A32*PI()/180)/300,360)</f>
        <v>209.64668327973945</v>
      </c>
      <c r="F32" s="1">
        <v>0</v>
      </c>
      <c r="G32" s="12">
        <v>70</v>
      </c>
      <c r="H32" s="12">
        <v>140</v>
      </c>
      <c r="I32" s="12">
        <v>210</v>
      </c>
    </row>
    <row r="33" spans="1:9">
      <c r="A33" s="7">
        <v>0</v>
      </c>
      <c r="B33" s="7">
        <v>0</v>
      </c>
      <c r="C33" s="8">
        <f>MOD(-180*Freq*15.52*2*SIN(A33*PI()/180)/300,360)</f>
        <v>0</v>
      </c>
      <c r="D33" s="7">
        <f>MOD(-180*Freq*2*15.52*2*SIN(A33*PI()/180)/300,360)</f>
        <v>0</v>
      </c>
      <c r="E33" s="7">
        <f>MOD(-180*Freq*3*15.52*2*SIN(A33*PI()/180)/300,360)</f>
        <v>0</v>
      </c>
      <c r="F33" s="7">
        <v>0</v>
      </c>
      <c r="G33" s="12">
        <v>0</v>
      </c>
      <c r="H33" s="12">
        <v>0</v>
      </c>
      <c r="I33" s="12">
        <v>0</v>
      </c>
    </row>
    <row r="34" spans="1:9">
      <c r="A34" s="7">
        <v>1</v>
      </c>
      <c r="B34" s="7">
        <v>0</v>
      </c>
      <c r="C34" s="8">
        <f>MOD(-180*Freq*15.52*2*SIN(A34*PI()/180)/300,360)</f>
        <v>290.11777224008688</v>
      </c>
      <c r="D34" s="7">
        <f>MOD(-180*Freq*2*15.52*2*SIN(A34*PI()/180)/300,360)</f>
        <v>220.2355444801737</v>
      </c>
      <c r="E34" s="7">
        <f>MOD(-180*Freq*3*15.52*2*SIN(A34*PI()/180)/300,360)</f>
        <v>150.35331672026055</v>
      </c>
      <c r="F34" s="7">
        <v>0</v>
      </c>
      <c r="G34" s="12">
        <v>290</v>
      </c>
      <c r="H34" s="12">
        <v>220</v>
      </c>
      <c r="I34" s="12">
        <v>150</v>
      </c>
    </row>
    <row r="35" spans="1:9">
      <c r="A35" s="7">
        <v>2</v>
      </c>
      <c r="B35" s="7">
        <v>0</v>
      </c>
      <c r="C35" s="8">
        <f>MOD(-180*Freq*15.52*2*SIN(A35*PI()/180)/300,360)</f>
        <v>220.25683128371372</v>
      </c>
      <c r="D35" s="7">
        <f>MOD(-180*Freq*2*15.52*2*SIN(A35*PI()/180)/300,360)</f>
        <v>80.513662567427446</v>
      </c>
      <c r="E35" s="7">
        <f>MOD(-180*Freq*3*15.52*2*SIN(A35*PI()/180)/300,360)</f>
        <v>300.77049385114117</v>
      </c>
      <c r="F35" s="7">
        <v>0</v>
      </c>
      <c r="G35" s="12"/>
      <c r="H35" s="12"/>
      <c r="I35" s="12"/>
    </row>
    <row r="36" spans="1:9">
      <c r="A36" s="7">
        <v>3</v>
      </c>
      <c r="B36" s="7">
        <v>0</v>
      </c>
      <c r="C36" s="8">
        <f>MOD(-180*Freq*15.52*2*SIN(A36*PI()/180)/300,360)</f>
        <v>150.43845745025405</v>
      </c>
      <c r="D36" s="7">
        <f>MOD(-180*Freq*2*15.52*2*SIN(A36*PI()/180)/300,360)</f>
        <v>300.8769149005081</v>
      </c>
      <c r="E36" s="7">
        <f>MOD(-180*Freq*3*15.52*2*SIN(A36*PI()/180)/300,360)</f>
        <v>91.315372350762118</v>
      </c>
      <c r="F36" s="7">
        <v>0</v>
      </c>
      <c r="G36" s="12"/>
      <c r="H36" s="12"/>
      <c r="I36" s="12"/>
    </row>
    <row r="37" spans="1:9">
      <c r="A37" s="7">
        <v>4</v>
      </c>
      <c r="B37" s="7">
        <v>0</v>
      </c>
      <c r="C37" s="8">
        <f>MOD(-180*Freq*15.52*2*SIN(A37*PI()/180)/300,360)</f>
        <v>80.683918092723218</v>
      </c>
      <c r="D37" s="7">
        <f>MOD(-180*Freq*2*15.52*2*SIN(A37*PI()/180)/300,360)</f>
        <v>161.36783618544644</v>
      </c>
      <c r="E37" s="7">
        <f>MOD(-180*Freq*3*15.52*2*SIN(A37*PI()/180)/300,360)</f>
        <v>242.05175427816971</v>
      </c>
      <c r="F37" s="7">
        <v>0</v>
      </c>
      <c r="G37" s="12"/>
      <c r="H37" s="12"/>
      <c r="I37" s="12"/>
    </row>
    <row r="38" spans="1:9">
      <c r="A38" s="7">
        <v>5</v>
      </c>
      <c r="B38" s="7">
        <v>0</v>
      </c>
      <c r="C38" s="8">
        <f>MOD(-180*Freq*15.52*2*SIN(A38*PI()/180)/300,360)</f>
        <v>11.014461119537032</v>
      </c>
      <c r="D38" s="7">
        <f>MOD(-180*Freq*2*15.52*2*SIN(A38*PI()/180)/300,360)</f>
        <v>22.028922239074063</v>
      </c>
      <c r="E38" s="7">
        <f>MOD(-180*Freq*3*15.52*2*SIN(A38*PI()/180)/300,360)</f>
        <v>33.043383358611209</v>
      </c>
      <c r="F38" s="7">
        <v>0</v>
      </c>
      <c r="G38" s="12"/>
      <c r="H38" s="12"/>
      <c r="I38" s="12"/>
    </row>
    <row r="39" spans="1:9">
      <c r="A39" s="7">
        <v>6</v>
      </c>
      <c r="B39" s="7">
        <v>0</v>
      </c>
      <c r="C39" s="8">
        <f>MOD(-180*Freq*15.52*2*SIN(A39*PI()/180)/300,360)</f>
        <v>301.45130852219273</v>
      </c>
      <c r="D39" s="7">
        <f>MOD(-180*Freq*2*15.52*2*SIN(A39*PI()/180)/300,360)</f>
        <v>242.90261704438547</v>
      </c>
      <c r="E39" s="7">
        <f>MOD(-180*Freq*3*15.52*2*SIN(A39*PI()/180)/300,360)</f>
        <v>184.35392556657825</v>
      </c>
      <c r="F39" s="7">
        <v>0</v>
      </c>
      <c r="G39" s="13"/>
      <c r="H39" s="14"/>
      <c r="I39" s="12"/>
    </row>
    <row r="40" spans="1:9">
      <c r="A40" s="7">
        <v>7</v>
      </c>
      <c r="B40" s="7">
        <v>0</v>
      </c>
      <c r="C40" s="8">
        <f>MOD(-180*Freq*15.52*2*SIN(A40*PI()/180)/300,360)</f>
        <v>232.01564991084473</v>
      </c>
      <c r="D40" s="7">
        <f>MOD(-180*Freq*2*15.52*2*SIN(A40*PI()/180)/300,360)</f>
        <v>104.03129982168946</v>
      </c>
      <c r="E40" s="7">
        <f>MOD(-180*Freq*3*15.52*2*SIN(A40*PI()/180)/300,360)</f>
        <v>336.04694973253413</v>
      </c>
      <c r="F40" s="7">
        <v>0</v>
      </c>
      <c r="G40" s="12"/>
      <c r="H40" s="12"/>
      <c r="I40" s="12"/>
    </row>
    <row r="41" spans="1:9">
      <c r="A41" s="7">
        <v>8</v>
      </c>
      <c r="B41" s="7">
        <v>0</v>
      </c>
      <c r="C41" s="8">
        <f>MOD(-180*Freq*15.52*2*SIN(A41*PI()/180)/300,360)</f>
        <v>162.72863605974442</v>
      </c>
      <c r="D41" s="7">
        <f>MOD(-180*Freq*2*15.52*2*SIN(A41*PI()/180)/300,360)</f>
        <v>325.45727211948883</v>
      </c>
      <c r="E41" s="7">
        <f>MOD(-180*Freq*3*15.52*2*SIN(A41*PI()/180)/300,360)</f>
        <v>128.18590817923314</v>
      </c>
      <c r="F41" s="7">
        <v>0</v>
      </c>
      <c r="G41" s="12"/>
      <c r="H41" s="12"/>
      <c r="I41" s="12"/>
    </row>
    <row r="42" spans="1:9">
      <c r="A42" s="7">
        <v>9</v>
      </c>
      <c r="B42" s="7">
        <v>0</v>
      </c>
      <c r="C42" s="8">
        <f>MOD(-180*Freq*15.52*2*SIN(A42*PI()/180)/300,360)</f>
        <v>93.611372464509145</v>
      </c>
      <c r="D42" s="7">
        <f>MOD(-180*Freq*2*15.52*2*SIN(A42*PI()/180)/300,360)</f>
        <v>187.22274492901829</v>
      </c>
      <c r="E42" s="7">
        <f>MOD(-180*Freq*3*15.52*2*SIN(A42*PI()/180)/300,360)</f>
        <v>280.83411739352732</v>
      </c>
      <c r="F42" s="7">
        <v>0</v>
      </c>
      <c r="G42" s="12"/>
      <c r="H42" s="12"/>
      <c r="I42" s="12"/>
    </row>
    <row r="43" spans="1:9">
      <c r="A43" s="7">
        <v>10</v>
      </c>
      <c r="B43" s="7">
        <v>0</v>
      </c>
      <c r="C43" s="8">
        <f>MOD(-180*Freq*15.52*2*SIN(A43*PI()/180)/300,360)</f>
        <v>24.684912913184235</v>
      </c>
      <c r="D43" s="7">
        <f>MOD(-180*Freq*2*15.52*2*SIN(A43*PI()/180)/300,360)</f>
        <v>49.369825826368469</v>
      </c>
      <c r="E43" s="7">
        <f>MOD(-180*Freq*3*15.52*2*SIN(A43*PI()/180)/300,360)</f>
        <v>74.054738739552704</v>
      </c>
      <c r="F43" s="7">
        <v>0</v>
      </c>
      <c r="G43" s="12"/>
      <c r="H43" s="12"/>
      <c r="I43" s="12"/>
    </row>
    <row r="44" spans="1:9">
      <c r="A44" s="7">
        <v>11</v>
      </c>
      <c r="B44" s="7">
        <v>0</v>
      </c>
      <c r="C44" s="8">
        <f>MOD(-180*Freq*15.52*2*SIN(A44*PI()/180)/300,360)</f>
        <v>315.97025307305444</v>
      </c>
      <c r="D44" s="7">
        <f>MOD(-180*Freq*2*15.52*2*SIN(A44*PI()/180)/300,360)</f>
        <v>271.94050614610887</v>
      </c>
      <c r="E44" s="7">
        <f>MOD(-180*Freq*3*15.52*2*SIN(A44*PI()/180)/300,360)</f>
        <v>227.91075921916308</v>
      </c>
      <c r="F44" s="7">
        <v>0</v>
      </c>
      <c r="G44" s="12"/>
      <c r="H44" s="12"/>
      <c r="I44" s="12"/>
    </row>
    <row r="45" spans="1:9">
      <c r="A45" s="7">
        <v>12</v>
      </c>
      <c r="B45" s="7">
        <v>0</v>
      </c>
      <c r="C45" s="8">
        <f>MOD(-180*Freq*15.52*2*SIN(A45*PI()/180)/300,360)</f>
        <v>247.48832409516081</v>
      </c>
      <c r="D45" s="7">
        <f>MOD(-180*Freq*2*15.52*2*SIN(A45*PI()/180)/300,360)</f>
        <v>134.97664819032161</v>
      </c>
      <c r="E45" s="7">
        <f>MOD(-180*Freq*3*15.52*2*SIN(A45*PI()/180)/300,360)</f>
        <v>22.464972285482418</v>
      </c>
      <c r="F45" s="7">
        <v>0</v>
      </c>
      <c r="G45" s="13"/>
      <c r="H45" s="14"/>
      <c r="I45" s="12"/>
    </row>
    <row r="46" spans="1:9">
      <c r="A46" s="7">
        <v>13</v>
      </c>
      <c r="B46" s="7">
        <v>0</v>
      </c>
      <c r="C46" s="8">
        <f>MOD(-180*Freq*15.52*2*SIN(A46*PI()/180)/300,360)</f>
        <v>179.25998623846954</v>
      </c>
      <c r="D46" s="7">
        <f>MOD(-180*Freq*2*15.52*2*SIN(A46*PI()/180)/300,360)</f>
        <v>358.51997247693907</v>
      </c>
      <c r="E46" s="7">
        <f>MOD(-180*Freq*3*15.52*2*SIN(A46*PI()/180)/300,360)</f>
        <v>177.77995871540861</v>
      </c>
      <c r="F46" s="7">
        <v>0</v>
      </c>
      <c r="G46" s="12"/>
      <c r="H46" s="12"/>
      <c r="I46" s="12"/>
    </row>
    <row r="47" spans="1:9">
      <c r="A47" s="7">
        <v>14</v>
      </c>
      <c r="B47" s="7">
        <v>0</v>
      </c>
      <c r="C47" s="8">
        <f>MOD(-180*Freq*15.52*2*SIN(A47*PI()/180)/300,360)</f>
        <v>111.3060225156346</v>
      </c>
      <c r="D47" s="7">
        <f>MOD(-180*Freq*2*15.52*2*SIN(A47*PI()/180)/300,360)</f>
        <v>222.61204503126919</v>
      </c>
      <c r="E47" s="7">
        <f>MOD(-180*Freq*3*15.52*2*SIN(A47*PI()/180)/300,360)</f>
        <v>333.91806754690333</v>
      </c>
      <c r="F47" s="7">
        <v>0</v>
      </c>
      <c r="G47" s="12"/>
      <c r="H47" s="12"/>
      <c r="I47" s="12"/>
    </row>
    <row r="48" spans="1:9">
      <c r="A48" s="7">
        <v>15</v>
      </c>
      <c r="B48" s="7">
        <v>0</v>
      </c>
      <c r="C48" s="8">
        <f>MOD(-180*Freq*15.52*2*SIN(A48*PI()/180)/300,360)</f>
        <v>43.647132362290449</v>
      </c>
      <c r="D48" s="7">
        <f>MOD(-180*Freq*2*15.52*2*SIN(A48*PI()/180)/300,360)</f>
        <v>87.294264724580898</v>
      </c>
      <c r="E48" s="7">
        <f>MOD(-180*Freq*3*15.52*2*SIN(A48*PI()/180)/300,360)</f>
        <v>130.9413970868718</v>
      </c>
      <c r="F48" s="7">
        <v>0</v>
      </c>
      <c r="G48" s="12"/>
      <c r="H48" s="12"/>
      <c r="I48" s="12"/>
    </row>
    <row r="49" spans="1:9">
      <c r="A49" s="7">
        <v>16</v>
      </c>
      <c r="B49" s="7">
        <v>0</v>
      </c>
      <c r="C49" s="8">
        <f>MOD(-180*Freq*15.52*2*SIN(A49*PI()/180)/300,360)</f>
        <v>336.30392533180452</v>
      </c>
      <c r="D49" s="7">
        <f>MOD(-180*Freq*2*15.52*2*SIN(A49*PI()/180)/300,360)</f>
        <v>312.60785066360904</v>
      </c>
      <c r="E49" s="7">
        <f>MOD(-180*Freq*3*15.52*2*SIN(A49*PI()/180)/300,360)</f>
        <v>288.91177599541379</v>
      </c>
      <c r="F49" s="7">
        <v>0</v>
      </c>
      <c r="G49" s="12"/>
      <c r="H49" s="12"/>
      <c r="I49" s="12"/>
    </row>
    <row r="50" spans="1:9">
      <c r="A50" s="7">
        <v>17</v>
      </c>
      <c r="B50" s="7">
        <v>0</v>
      </c>
      <c r="C50" s="8">
        <f>MOD(-180*Freq*15.52*2*SIN(A50*PI()/180)/300,360)</f>
        <v>269.29691481740633</v>
      </c>
      <c r="D50" s="7">
        <f>MOD(-180*Freq*2*15.52*2*SIN(A50*PI()/180)/300,360)</f>
        <v>178.59382963481266</v>
      </c>
      <c r="E50" s="7">
        <f>MOD(-180*Freq*3*15.52*2*SIN(A50*PI()/180)/300,360)</f>
        <v>87.890744452218769</v>
      </c>
      <c r="F50" s="7">
        <v>0</v>
      </c>
      <c r="G50" s="12"/>
      <c r="H50" s="12"/>
      <c r="I50" s="12"/>
    </row>
    <row r="51" spans="1:9">
      <c r="A51" s="7">
        <v>18</v>
      </c>
      <c r="B51" s="7">
        <v>0</v>
      </c>
      <c r="C51" s="8">
        <f>MOD(-180*Freq*15.52*2*SIN(A51*PI()/180)/300,360)</f>
        <v>202.64651180361057</v>
      </c>
      <c r="D51" s="7">
        <f>MOD(-180*Freq*2*15.52*2*SIN(A51*PI()/180)/300,360)</f>
        <v>45.29302360722113</v>
      </c>
      <c r="E51" s="7">
        <f>MOD(-180*Freq*3*15.52*2*SIN(A51*PI()/180)/300,360)</f>
        <v>247.93953541083192</v>
      </c>
      <c r="F51" s="7">
        <v>0</v>
      </c>
      <c r="G51" s="12"/>
      <c r="H51" s="12"/>
      <c r="I51" s="12"/>
    </row>
    <row r="52" spans="1:9">
      <c r="A52" s="7">
        <v>19</v>
      </c>
      <c r="B52" s="7">
        <v>0</v>
      </c>
      <c r="C52" s="8">
        <f>MOD(-180*Freq*15.52*2*SIN(A52*PI()/180)/300,360)</f>
        <v>136.3730186488317</v>
      </c>
      <c r="D52" s="7">
        <f>MOD(-180*Freq*2*15.52*2*SIN(A52*PI()/180)/300,360)</f>
        <v>272.74603729766341</v>
      </c>
      <c r="E52" s="7">
        <f>MOD(-180*Freq*3*15.52*2*SIN(A52*PI()/180)/300,360)</f>
        <v>49.119055946494882</v>
      </c>
      <c r="F52" s="7">
        <v>0</v>
      </c>
      <c r="G52" s="12"/>
      <c r="H52" s="12"/>
      <c r="I52" s="12"/>
    </row>
    <row r="53" spans="1:9">
      <c r="A53" s="7">
        <v>20</v>
      </c>
      <c r="B53" s="7">
        <v>0</v>
      </c>
      <c r="C53" s="8">
        <f>MOD(-180*Freq*15.52*2*SIN(A53*PI()/180)/300,360)</f>
        <v>70.496622901090404</v>
      </c>
      <c r="D53" s="7">
        <f>MOD(-180*Freq*2*15.52*2*SIN(A53*PI()/180)/300,360)</f>
        <v>140.99324580218081</v>
      </c>
      <c r="E53" s="7">
        <f>MOD(-180*Freq*3*15.52*2*SIN(A53*PI()/180)/300,360)</f>
        <v>211.48986870327099</v>
      </c>
      <c r="F53" s="7">
        <v>0</v>
      </c>
      <c r="G53" s="12"/>
      <c r="H53" s="12"/>
      <c r="I53" s="12"/>
    </row>
    <row r="54" spans="1:9">
      <c r="A54" s="7">
        <v>21</v>
      </c>
      <c r="B54" s="7">
        <v>0</v>
      </c>
      <c r="C54" s="8">
        <f>MOD(-180*Freq*15.52*2*SIN(A54*PI()/180)/300,360)</f>
        <v>5.0373911486906309</v>
      </c>
      <c r="D54" s="7">
        <f>MOD(-180*Freq*2*15.52*2*SIN(A54*PI()/180)/300,360)</f>
        <v>10.074782297381262</v>
      </c>
      <c r="E54" s="7">
        <f>MOD(-180*Freq*3*15.52*2*SIN(A54*PI()/180)/300,360)</f>
        <v>15.11217344607121</v>
      </c>
      <c r="F54" s="7">
        <v>0</v>
      </c>
      <c r="G54" s="12"/>
      <c r="H54" s="12"/>
      <c r="I54" s="12"/>
    </row>
    <row r="55" spans="1:9">
      <c r="A55" s="7">
        <v>22</v>
      </c>
      <c r="B55" s="7">
        <v>0</v>
      </c>
      <c r="C55" s="8">
        <f>MOD(-180*Freq*15.52*2*SIN(A55*PI()/180)/300,360)</f>
        <v>300.01526290774177</v>
      </c>
      <c r="D55" s="7">
        <f>MOD(-180*Freq*2*15.52*2*SIN(A55*PI()/180)/300,360)</f>
        <v>240.03052581548354</v>
      </c>
      <c r="E55" s="7">
        <f>MOD(-180*Freq*3*15.52*2*SIN(A55*PI()/180)/300,360)</f>
        <v>180.04578872322509</v>
      </c>
      <c r="F55" s="7">
        <v>0</v>
      </c>
      <c r="G55" s="12"/>
      <c r="H55" s="12"/>
      <c r="I55" s="12"/>
    </row>
    <row r="56" spans="1:9">
      <c r="A56" s="7">
        <v>23</v>
      </c>
      <c r="B56" s="7">
        <v>0</v>
      </c>
      <c r="C56" s="8">
        <f>MOD(-180*Freq*15.52*2*SIN(A56*PI()/180)/300,360)</f>
        <v>235.45004454838977</v>
      </c>
      <c r="D56" s="7">
        <f>MOD(-180*Freq*2*15.52*2*SIN(A56*PI()/180)/300,360)</f>
        <v>110.90008909677954</v>
      </c>
      <c r="E56" s="7">
        <f>MOD(-180*Freq*3*15.52*2*SIN(A56*PI()/180)/300,360)</f>
        <v>346.35013364516908</v>
      </c>
      <c r="F56" s="7">
        <v>0</v>
      </c>
      <c r="G56" s="12"/>
      <c r="H56" s="12"/>
      <c r="I56" s="12"/>
    </row>
    <row r="57" spans="1:9">
      <c r="A57" s="7">
        <v>24</v>
      </c>
      <c r="B57" s="7">
        <v>0</v>
      </c>
      <c r="C57" s="8">
        <f>MOD(-180*Freq*15.52*2*SIN(A57*PI()/180)/300,360)</f>
        <v>171.36140326160421</v>
      </c>
      <c r="D57" s="7">
        <f>MOD(-180*Freq*2*15.52*2*SIN(A57*PI()/180)/300,360)</f>
        <v>342.72280652320842</v>
      </c>
      <c r="E57" s="7">
        <f>MOD(-180*Freq*3*15.52*2*SIN(A57*PI()/180)/300,360)</f>
        <v>154.08420978481172</v>
      </c>
      <c r="F57" s="7">
        <v>0</v>
      </c>
      <c r="G57" s="12"/>
      <c r="H57" s="12"/>
      <c r="I57" s="12"/>
    </row>
    <row r="58" spans="1:9">
      <c r="A58" s="7">
        <v>25</v>
      </c>
      <c r="B58" s="7">
        <v>0</v>
      </c>
      <c r="C58" s="8">
        <f>MOD(-180*Freq*15.52*2*SIN(A58*PI()/180)/300,360)</f>
        <v>107.76886106836082</v>
      </c>
      <c r="D58" s="7">
        <f>MOD(-180*Freq*2*15.52*2*SIN(A58*PI()/180)/300,360)</f>
        <v>215.53772213672164</v>
      </c>
      <c r="E58" s="7">
        <f>MOD(-180*Freq*3*15.52*2*SIN(A58*PI()/180)/300,360)</f>
        <v>323.30658320508246</v>
      </c>
      <c r="F58" s="7">
        <v>0</v>
      </c>
      <c r="G58" s="12"/>
      <c r="H58" s="12"/>
      <c r="I58" s="12"/>
    </row>
    <row r="59" spans="1:9">
      <c r="A59" s="7">
        <v>26</v>
      </c>
      <c r="B59" s="7">
        <v>0</v>
      </c>
      <c r="C59" s="8">
        <f>MOD(-180*Freq*15.52*2*SIN(A59*PI()/180)/300,360)</f>
        <v>44.691788873047699</v>
      </c>
      <c r="D59" s="7">
        <f>MOD(-180*Freq*2*15.52*2*SIN(A59*PI()/180)/300,360)</f>
        <v>89.383577746095398</v>
      </c>
      <c r="E59" s="7">
        <f>MOD(-180*Freq*3*15.52*2*SIN(A59*PI()/180)/300,360)</f>
        <v>134.0753666191431</v>
      </c>
      <c r="F59" s="7">
        <v>0</v>
      </c>
      <c r="G59" s="12"/>
      <c r="H59" s="12"/>
      <c r="I59" s="12"/>
    </row>
    <row r="60" spans="1:9">
      <c r="A60" s="7">
        <v>27</v>
      </c>
      <c r="B60" s="7">
        <v>0</v>
      </c>
      <c r="C60" s="8">
        <f>MOD(-180*Freq*15.52*2*SIN(A60*PI()/180)/300,360)</f>
        <v>342.14940056289652</v>
      </c>
      <c r="D60" s="7">
        <f>MOD(-180*Freq*2*15.52*2*SIN(A60*PI()/180)/300,360)</f>
        <v>324.29880112579303</v>
      </c>
      <c r="E60" s="7">
        <f>MOD(-180*Freq*3*15.52*2*SIN(A60*PI()/180)/300,360)</f>
        <v>306.44820168868955</v>
      </c>
      <c r="F60" s="7">
        <v>0</v>
      </c>
      <c r="G60" s="12"/>
      <c r="H60" s="12"/>
      <c r="I60" s="12"/>
    </row>
    <row r="61" spans="1:9">
      <c r="A61" s="7">
        <v>28</v>
      </c>
      <c r="B61" s="7">
        <v>0</v>
      </c>
      <c r="C61" s="8">
        <f>MOD(-180*Freq*15.52*2*SIN(A61*PI()/180)/300,360)</f>
        <v>280.16074715524746</v>
      </c>
      <c r="D61" s="7">
        <f>MOD(-180*Freq*2*15.52*2*SIN(A61*PI()/180)/300,360)</f>
        <v>200.32149431049493</v>
      </c>
      <c r="E61" s="7">
        <f>MOD(-180*Freq*3*15.52*2*SIN(A61*PI()/180)/300,360)</f>
        <v>120.48224146574285</v>
      </c>
      <c r="F61" s="7">
        <v>0</v>
      </c>
      <c r="G61" s="12"/>
      <c r="H61" s="12"/>
      <c r="I61" s="12"/>
    </row>
    <row r="62" spans="1:9">
      <c r="A62" s="7">
        <v>29</v>
      </c>
      <c r="B62" s="7">
        <v>0</v>
      </c>
      <c r="C62" s="8">
        <f>MOD(-180*Freq*15.52*2*SIN(A62*PI()/180)/300,360)</f>
        <v>218.7447109944269</v>
      </c>
      <c r="D62" s="7">
        <f>MOD(-180*Freq*2*15.52*2*SIN(A62*PI()/180)/300,360)</f>
        <v>77.489421988853792</v>
      </c>
      <c r="E62" s="7">
        <f>MOD(-180*Freq*3*15.52*2*SIN(A62*PI()/180)/300,360)</f>
        <v>296.23413298328069</v>
      </c>
      <c r="F62" s="7">
        <v>0</v>
      </c>
      <c r="G62" s="12"/>
      <c r="H62" s="12"/>
      <c r="I62" s="12"/>
    </row>
    <row r="63" spans="1:9">
      <c r="A63" s="7">
        <v>30</v>
      </c>
      <c r="B63" s="7">
        <v>0</v>
      </c>
      <c r="C63" s="8">
        <f>MOD(-180*Freq*15.52*2*SIN(A63*PI()/180)/300,360)</f>
        <v>157.9200000000003</v>
      </c>
      <c r="D63" s="7">
        <f>MOD(-180*Freq*2*15.52*2*SIN(A63*PI()/180)/300,360)</f>
        <v>315.8400000000006</v>
      </c>
      <c r="E63" s="7">
        <f>MOD(-180*Freq*3*15.52*2*SIN(A63*PI()/180)/300,360)</f>
        <v>113.76000000000113</v>
      </c>
      <c r="F63" s="7">
        <v>0</v>
      </c>
      <c r="G63" s="12">
        <v>158</v>
      </c>
      <c r="H63" s="12">
        <v>316</v>
      </c>
      <c r="I63" s="12">
        <v>114</v>
      </c>
    </row>
  </sheetData>
  <mergeCells count="2">
    <mergeCell ref="C1:E1"/>
    <mergeCell ref="G1:I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80DC-7BB7-44DC-931F-8A76E0EECF4B}">
  <dimension ref="A1"/>
  <sheetViews>
    <sheetView workbookViewId="0">
      <selection activeCell="F28" sqref="F28"/>
    </sheetView>
  </sheetViews>
  <sheetFormatPr defaultRowHeight="1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D6C3-97B2-4A45-8DE2-8F955E872C5F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A481-3BE9-4F89-B4DC-499F05E5E885}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212</vt:lpstr>
      <vt:lpstr>215</vt:lpstr>
      <vt:lpstr>218</vt:lpstr>
      <vt:lpstr>221</vt:lpstr>
      <vt:lpstr>224</vt:lpstr>
      <vt:lpstr>'212'!Freq</vt:lpstr>
      <vt:lpstr>'215'!Freq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yxm_ll yxm_ll</cp:lastModifiedBy>
  <dcterms:created xsi:type="dcterms:W3CDTF">2026-01-23T02:01:05Z</dcterms:created>
  <dcterms:modified xsi:type="dcterms:W3CDTF">2026-06-24T02:18:02Z</dcterms:modified>
</cp:coreProperties>
</file>