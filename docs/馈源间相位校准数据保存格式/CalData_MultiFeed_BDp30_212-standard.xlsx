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work\电子科大湖州研究院\科研项目开展\可重构智能表面项目\504有源驱动阵列馈电的太赫兹透射式RIS项目\替补方案\通道间相位校准数据保存格式\"/>
    </mc:Choice>
  </mc:AlternateContent>
  <xr:revisionPtr revIDLastSave="0" documentId="13_ncr:1_{2B7F71E3-A786-460A-B472-68B9C47798E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al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1" l="1"/>
  <c r="A7" i="1"/>
  <c r="A5" i="1"/>
</calcChain>
</file>

<file path=xl/sharedStrings.xml><?xml version="1.0" encoding="utf-8"?>
<sst xmlns="http://schemas.openxmlformats.org/spreadsheetml/2006/main" count="12" uniqueCount="12">
  <si>
    <t>Pa1/uW</t>
    <phoneticPr fontId="1" type="noConversion"/>
  </si>
  <si>
    <t>Pa2/uW</t>
    <phoneticPr fontId="1" type="noConversion"/>
  </si>
  <si>
    <t>Pa3/uW</t>
    <phoneticPr fontId="1" type="noConversion"/>
  </si>
  <si>
    <t>Pa4/uW</t>
    <phoneticPr fontId="1" type="noConversion"/>
  </si>
  <si>
    <t>ψ1(theoretical value)</t>
    <phoneticPr fontId="1" type="noConversion"/>
  </si>
  <si>
    <r>
      <t>ψ</t>
    </r>
    <r>
      <rPr>
        <sz val="11"/>
        <color theme="1"/>
        <rFont val="微软雅黑"/>
        <family val="2"/>
        <charset val="134"/>
      </rPr>
      <t>2</t>
    </r>
    <r>
      <rPr>
        <sz val="11"/>
        <color theme="1"/>
        <rFont val="Calibri"/>
        <family val="2"/>
      </rPr>
      <t>(theoretical value)</t>
    </r>
    <phoneticPr fontId="1" type="noConversion"/>
  </si>
  <si>
    <r>
      <t>ψ</t>
    </r>
    <r>
      <rPr>
        <sz val="11"/>
        <color theme="1"/>
        <rFont val="微软雅黑"/>
        <family val="2"/>
        <charset val="134"/>
      </rPr>
      <t>3</t>
    </r>
    <r>
      <rPr>
        <sz val="11"/>
        <color theme="1"/>
        <rFont val="Calibri"/>
        <family val="2"/>
      </rPr>
      <t>(theoretical value)</t>
    </r>
    <phoneticPr fontId="1" type="noConversion"/>
  </si>
  <si>
    <r>
      <t>ψ</t>
    </r>
    <r>
      <rPr>
        <sz val="11"/>
        <color theme="1"/>
        <rFont val="微软雅黑"/>
        <family val="2"/>
        <charset val="134"/>
      </rPr>
      <t>4</t>
    </r>
    <r>
      <rPr>
        <sz val="11"/>
        <color theme="1"/>
        <rFont val="Calibri"/>
        <family val="2"/>
      </rPr>
      <t>(theoretical value)</t>
    </r>
    <phoneticPr fontId="1" type="noConversion"/>
  </si>
  <si>
    <t>Φp1/deg</t>
    <phoneticPr fontId="1" type="noConversion"/>
  </si>
  <si>
    <t>Φp2/deg</t>
    <phoneticPr fontId="1" type="noConversion"/>
  </si>
  <si>
    <t>Φp3/deg</t>
    <phoneticPr fontId="1" type="noConversion"/>
  </si>
  <si>
    <t>Φp4/deg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</si>
</sst>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1"/>
      <name val="宋体"/>
      <family val="3"/>
      <charset val="161"/>
    </font>
    <font>
      <sz val="11"/>
      <color theme="1"/>
      <name val="Calibri"/>
      <family val="2"/>
      <charset val="161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eam@0d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workbookViewId="0">
      <selection activeCell="E21" sqref="E21"/>
    </sheetView>
  </sheetViews>
  <sheetFormatPr defaultRowHeight="14"/>
  <cols>
    <col min="1" max="1" width="18.7265625" customWidth="1"/>
    <col min="2" max="2" width="10.7265625" customWidth="1"/>
    <col min="3" max="3" width="9" customWidth="1"/>
    <col min="4" max="4" width="7.54296875" customWidth="1"/>
    <col min="5" max="5" width="9.453125" customWidth="1"/>
    <col min="8" max="8" width="8.1796875" customWidth="1"/>
    <col min="11" max="11" width="7.453125" customWidth="1"/>
    <col min="13" max="13" width="8" customWidth="1"/>
    <col min="15" max="15" width="7.54296875" customWidth="1"/>
    <col min="17" max="17" width="6.90625" customWidth="1"/>
    <col min="19" max="19" width="7" customWidth="1"/>
    <col min="20" max="20" width="7.08984375" customWidth="1"/>
  </cols>
  <sheetData>
    <row r="1" spans="1:20" ht="15.5">
      <c r="A1" s="11">
        <v>212</v>
      </c>
      <c r="B1" s="11">
        <v>30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15">
      <c r="A2" s="8" t="s">
        <v>4</v>
      </c>
      <c r="B2" s="7" t="s">
        <v>8</v>
      </c>
      <c r="C2" s="9" t="s">
        <v>0</v>
      </c>
    </row>
    <row r="3" spans="1:20" ht="15">
      <c r="A3" s="5">
        <v>0</v>
      </c>
      <c r="B3" s="7">
        <v>0</v>
      </c>
      <c r="C3" s="10">
        <v>16</v>
      </c>
    </row>
    <row r="4" spans="1:20" ht="16.5">
      <c r="A4" s="8" t="s">
        <v>5</v>
      </c>
      <c r="B4" s="9" t="s">
        <v>9</v>
      </c>
      <c r="C4" s="9" t="s">
        <v>1</v>
      </c>
      <c r="D4" s="5"/>
      <c r="G4" s="5"/>
      <c r="H4" s="5"/>
    </row>
    <row r="5" spans="1:20" ht="15">
      <c r="A5" s="5">
        <f>MOD(-180*A1*15.52*2*SIN(B1*PI()/180)/300,360)</f>
        <v>185.85600000000045</v>
      </c>
      <c r="B5" s="9">
        <v>0</v>
      </c>
      <c r="C5" s="10">
        <v>32</v>
      </c>
      <c r="D5" s="5"/>
      <c r="G5" s="5"/>
      <c r="H5" s="5"/>
    </row>
    <row r="6" spans="1:20" ht="16.5">
      <c r="A6" s="8" t="s">
        <v>6</v>
      </c>
      <c r="B6" s="9" t="s">
        <v>10</v>
      </c>
      <c r="C6" s="9" t="s">
        <v>2</v>
      </c>
      <c r="D6" s="5"/>
      <c r="E6" s="5"/>
      <c r="F6" s="5"/>
      <c r="G6" s="5"/>
      <c r="H6" s="5"/>
    </row>
    <row r="7" spans="1:20" ht="15">
      <c r="A7" s="5">
        <f>MOD(-180*A1*2*15.52*2*SIN(B1*PI()/180)/300,360)</f>
        <v>11.712000000000899</v>
      </c>
      <c r="B7" s="9">
        <v>0</v>
      </c>
      <c r="C7" s="10">
        <v>64</v>
      </c>
    </row>
    <row r="8" spans="1:20" ht="16.5">
      <c r="A8" s="8" t="s">
        <v>7</v>
      </c>
      <c r="B8" s="9" t="s">
        <v>11</v>
      </c>
      <c r="C8" s="9" t="s">
        <v>3</v>
      </c>
      <c r="D8" s="6"/>
      <c r="E8" s="4"/>
      <c r="F8" s="3"/>
      <c r="G8" s="4"/>
      <c r="H8" s="6"/>
    </row>
    <row r="9" spans="1:20" ht="15">
      <c r="A9" s="5">
        <f>MOD(-180*A1*3*15.52*2*SIN(B1*PI()/180)/300,360)</f>
        <v>197.56800000000112</v>
      </c>
      <c r="B9" s="9">
        <v>0</v>
      </c>
      <c r="C9" s="10">
        <v>128</v>
      </c>
      <c r="D9" s="5"/>
      <c r="E9" s="5"/>
      <c r="F9" s="5"/>
      <c r="G9" s="5"/>
      <c r="H9" s="5"/>
    </row>
    <row r="10" spans="1:20">
      <c r="A10" s="2"/>
      <c r="B10" s="2"/>
      <c r="C10" s="5"/>
      <c r="D10" s="5"/>
      <c r="E10" s="5"/>
      <c r="F10" s="5"/>
      <c r="G10" s="5"/>
      <c r="H10" s="5"/>
    </row>
    <row r="11" spans="1:20">
      <c r="A11" s="2"/>
      <c r="B11" s="2"/>
      <c r="C11" s="5"/>
      <c r="D11" s="5"/>
      <c r="E11" s="5"/>
      <c r="F11" s="5"/>
      <c r="G11" s="5"/>
      <c r="H11" s="5"/>
    </row>
    <row r="13" spans="1:20" ht="15">
      <c r="A13" s="1"/>
      <c r="B13" s="1"/>
    </row>
    <row r="14" spans="1:20" ht="14.5">
      <c r="A14" s="4"/>
      <c r="B14" s="4"/>
      <c r="C14" s="4"/>
      <c r="D14" s="6"/>
      <c r="E14" s="4"/>
      <c r="F14" s="3"/>
      <c r="G14" s="4"/>
      <c r="H14" s="6"/>
    </row>
    <row r="15" spans="1:20">
      <c r="A15" s="2"/>
      <c r="B15" s="2"/>
      <c r="C15" s="5"/>
      <c r="D15" s="5"/>
      <c r="E15" s="5"/>
      <c r="F15" s="5"/>
      <c r="G15" s="5"/>
      <c r="H15" s="5"/>
    </row>
    <row r="16" spans="1:20">
      <c r="A16" s="2"/>
      <c r="B16" s="2"/>
      <c r="C16" s="5"/>
      <c r="D16" s="5"/>
      <c r="E16" s="5"/>
      <c r="F16" s="5"/>
      <c r="G16" s="5"/>
      <c r="H16" s="5"/>
    </row>
    <row r="17" spans="1:8">
      <c r="A17" s="2"/>
      <c r="B17" s="2"/>
      <c r="C17" s="5"/>
      <c r="D17" s="5"/>
      <c r="E17" s="5"/>
      <c r="F17" s="5"/>
      <c r="G17" s="5"/>
      <c r="H17" s="5"/>
    </row>
  </sheetData>
  <phoneticPr fontId="1" type="noConversion"/>
  <hyperlinks>
    <hyperlink ref="B1" r:id="rId1" display="Beam@0deg" xr:uid="{59906502-B1C3-4DBC-B8AF-15F7ECB2C4C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yxm_ll yxm_ll</cp:lastModifiedBy>
  <dcterms:created xsi:type="dcterms:W3CDTF">2026-01-23T02:01:05Z</dcterms:created>
  <dcterms:modified xsi:type="dcterms:W3CDTF">2026-04-29T11:37:51Z</dcterms:modified>
</cp:coreProperties>
</file>